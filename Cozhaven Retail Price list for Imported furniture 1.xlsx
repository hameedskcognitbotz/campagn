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shetty\Downloads\"/>
    </mc:Choice>
  </mc:AlternateContent>
  <xr:revisionPtr revIDLastSave="0" documentId="13_ncr:1_{28BFBE87-BF66-42B9-BD09-6EC4586D55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57" i="1"/>
  <c r="Q30" i="1"/>
  <c r="R21" i="1"/>
  <c r="K16" i="1"/>
  <c r="R43" i="1" l="1"/>
  <c r="Q24" i="1"/>
</calcChain>
</file>

<file path=xl/sharedStrings.xml><?xml version="1.0" encoding="utf-8"?>
<sst xmlns="http://schemas.openxmlformats.org/spreadsheetml/2006/main" count="397" uniqueCount="362">
  <si>
    <r>
      <rPr>
        <b/>
        <sz val="3.5"/>
        <rFont val="Yu Gothic UI"/>
        <family val="2"/>
      </rPr>
      <t>SKU</t>
    </r>
  </si>
  <si>
    <r>
      <rPr>
        <b/>
        <sz val="3.5"/>
        <rFont val="Yu Gothic UI"/>
        <family val="2"/>
      </rPr>
      <t>Picture</t>
    </r>
  </si>
  <si>
    <r>
      <rPr>
        <b/>
        <sz val="3.5"/>
        <rFont val="Yu Gothic UI"/>
        <family val="2"/>
      </rPr>
      <t>Color</t>
    </r>
  </si>
  <si>
    <r>
      <rPr>
        <b/>
        <sz val="3.5"/>
        <rFont val="Yu Gothic UI"/>
        <family val="2"/>
      </rPr>
      <t>Detail</t>
    </r>
  </si>
  <si>
    <r>
      <rPr>
        <b/>
        <sz val="3.5"/>
        <rFont val="Yu Gothic UI"/>
        <family val="2"/>
      </rPr>
      <t>DDP Price(USD ）</t>
    </r>
  </si>
  <si>
    <r>
      <rPr>
        <b/>
        <sz val="3.5"/>
        <rFont val="Yu Gothic UI"/>
        <family val="2"/>
      </rPr>
      <t>DDP Price(CAD)</t>
    </r>
  </si>
  <si>
    <r>
      <rPr>
        <b/>
        <sz val="3.5"/>
        <rFont val="Yu Gothic UI"/>
        <family val="2"/>
      </rPr>
      <t>Size(CM)</t>
    </r>
  </si>
  <si>
    <r>
      <rPr>
        <b/>
        <sz val="3.5"/>
        <rFont val="Yu Gothic UI"/>
        <family val="2"/>
      </rPr>
      <t>package  size(CM)</t>
    </r>
  </si>
  <si>
    <r>
      <rPr>
        <b/>
        <sz val="3.5"/>
        <rFont val="Yu Gothic UI"/>
        <family val="2"/>
      </rPr>
      <t>CBM</t>
    </r>
  </si>
  <si>
    <r>
      <rPr>
        <b/>
        <sz val="3.5"/>
        <rFont val="Yu Gothic UI"/>
        <family val="2"/>
      </rPr>
      <t>weight(kg)</t>
    </r>
  </si>
  <si>
    <r>
      <rPr>
        <b/>
        <sz val="3.5"/>
        <rFont val="Yu Gothic UI"/>
        <family val="2"/>
      </rPr>
      <t>Stock available</t>
    </r>
  </si>
  <si>
    <r>
      <rPr>
        <b/>
        <sz val="3"/>
        <rFont val="Yu Gothic UI"/>
        <family val="2"/>
      </rPr>
      <t>single seater:  $425</t>
    </r>
  </si>
  <si>
    <r>
      <rPr>
        <b/>
        <sz val="3"/>
        <rFont val="Yu Gothic UI"/>
        <family val="2"/>
      </rPr>
      <t>single seater:  $628</t>
    </r>
  </si>
  <si>
    <r>
      <rPr>
        <sz val="2.5"/>
        <rFont val="Microsoft YaHei"/>
        <family val="2"/>
      </rPr>
      <t>123*98*68</t>
    </r>
  </si>
  <si>
    <r>
      <rPr>
        <b/>
        <sz val="4"/>
        <rFont val="Yu Gothic UI"/>
        <family val="2"/>
      </rPr>
      <t>10+</t>
    </r>
  </si>
  <si>
    <r>
      <rPr>
        <b/>
        <sz val="3"/>
        <rFont val="Yu Gothic UI"/>
        <family val="2"/>
      </rPr>
      <t>Bouclé (lamb  fleece)</t>
    </r>
  </si>
  <si>
    <r>
      <rPr>
        <b/>
        <sz val="3"/>
        <rFont val="Yu Gothic UI"/>
        <family val="2"/>
      </rPr>
      <t>fabric  + PU foam +</t>
    </r>
  </si>
  <si>
    <r>
      <rPr>
        <b/>
        <sz val="3"/>
        <rFont val="Yu Gothic UI"/>
        <family val="2"/>
      </rPr>
      <t>AF-SF009</t>
    </r>
  </si>
  <si>
    <r>
      <rPr>
        <b/>
        <sz val="3.5"/>
        <rFont val="Yu Gothic UI"/>
        <family val="2"/>
      </rPr>
      <t>beige</t>
    </r>
  </si>
  <si>
    <r>
      <rPr>
        <b/>
        <sz val="3"/>
        <rFont val="Yu Gothic UI"/>
        <family val="2"/>
      </rPr>
      <t>solid pine wood +</t>
    </r>
  </si>
  <si>
    <r>
      <rPr>
        <b/>
        <sz val="3"/>
        <rFont val="Yu Gothic UI"/>
        <family val="2"/>
      </rPr>
      <t>two seater: $580</t>
    </r>
  </si>
  <si>
    <r>
      <rPr>
        <b/>
        <sz val="3"/>
        <rFont val="Yu Gothic UI"/>
        <family val="2"/>
      </rPr>
      <t>two seater: $806</t>
    </r>
  </si>
  <si>
    <r>
      <rPr>
        <sz val="2.5"/>
        <rFont val="Microsoft YaHei"/>
        <family val="2"/>
      </rPr>
      <t>180*95*65</t>
    </r>
  </si>
  <si>
    <r>
      <rPr>
        <sz val="2.5"/>
        <rFont val="Microsoft YaHei"/>
        <family val="2"/>
      </rPr>
      <t>238*98*68</t>
    </r>
  </si>
  <si>
    <r>
      <rPr>
        <b/>
        <sz val="3"/>
        <rFont val="Yu Gothic UI"/>
        <family val="2"/>
      </rPr>
      <t>plywood  + solid wood</t>
    </r>
  </si>
  <si>
    <r>
      <rPr>
        <b/>
        <sz val="3"/>
        <rFont val="Yu Gothic UI"/>
        <family val="2"/>
      </rPr>
      <t xml:space="preserve">legs
</t>
    </r>
    <r>
      <rPr>
        <b/>
        <sz val="3"/>
        <rFont val="Yu Gothic UI"/>
        <family val="2"/>
      </rPr>
      <t>washable  cover</t>
    </r>
  </si>
  <si>
    <r>
      <rPr>
        <b/>
        <sz val="3"/>
        <rFont val="Yu Gothic UI"/>
        <family val="2"/>
      </rPr>
      <t>three seater:  $779</t>
    </r>
  </si>
  <si>
    <r>
      <rPr>
        <b/>
        <sz val="3"/>
        <rFont val="Yu Gothic UI"/>
        <family val="2"/>
      </rPr>
      <t>three seater:  $1083</t>
    </r>
  </si>
  <si>
    <r>
      <rPr>
        <b/>
        <sz val="3.5"/>
        <rFont val="Yu Gothic UI"/>
        <family val="2"/>
      </rPr>
      <t>white</t>
    </r>
  </si>
  <si>
    <r>
      <rPr>
        <b/>
        <sz val="3"/>
        <rFont val="Yu Gothic UI"/>
        <family val="2"/>
      </rPr>
      <t>left/right:  188</t>
    </r>
  </si>
  <si>
    <r>
      <rPr>
        <b/>
        <sz val="3"/>
        <rFont val="Yu Gothic UI"/>
        <family val="2"/>
      </rPr>
      <t>left/right:  261</t>
    </r>
  </si>
  <si>
    <r>
      <rPr>
        <sz val="2.5"/>
        <rFont val="Microsoft YaHei"/>
        <family val="2"/>
      </rPr>
      <t>105*100*75</t>
    </r>
  </si>
  <si>
    <r>
      <rPr>
        <sz val="2.5"/>
        <rFont val="Microsoft YaHei"/>
        <family val="2"/>
      </rPr>
      <t>102*98*27</t>
    </r>
  </si>
  <si>
    <r>
      <rPr>
        <b/>
        <sz val="4"/>
        <rFont val="Yu Gothic UI"/>
        <family val="2"/>
      </rPr>
      <t>white: 10+</t>
    </r>
  </si>
  <si>
    <r>
      <rPr>
        <b/>
        <sz val="4"/>
        <rFont val="Yu Gothic UI"/>
        <family val="2"/>
      </rPr>
      <t>black: 10+</t>
    </r>
  </si>
  <si>
    <r>
      <rPr>
        <b/>
        <sz val="3"/>
        <rFont val="Yu Gothic UI"/>
        <family val="2"/>
      </rPr>
      <t>MH-SF140 -A</t>
    </r>
  </si>
  <si>
    <r>
      <rPr>
        <b/>
        <sz val="3.5"/>
        <rFont val="Yu Gothic UI"/>
        <family val="2"/>
      </rPr>
      <t>black</t>
    </r>
  </si>
  <si>
    <r>
      <rPr>
        <b/>
        <sz val="3"/>
        <rFont val="Yu Gothic UI"/>
        <family val="2"/>
      </rPr>
      <t>fabric,down  feather</t>
    </r>
  </si>
  <si>
    <r>
      <rPr>
        <b/>
        <sz val="3"/>
        <rFont val="Yu Gothic UI"/>
        <family val="2"/>
      </rPr>
      <t>armless:  173</t>
    </r>
  </si>
  <si>
    <r>
      <rPr>
        <b/>
        <sz val="3"/>
        <rFont val="Yu Gothic UI"/>
        <family val="2"/>
      </rPr>
      <t>armless:  240</t>
    </r>
  </si>
  <si>
    <r>
      <rPr>
        <sz val="2.5"/>
        <rFont val="Microsoft YaHei"/>
        <family val="2"/>
      </rPr>
      <t>93*100*75</t>
    </r>
  </si>
  <si>
    <r>
      <rPr>
        <b/>
        <sz val="3.5"/>
        <rFont val="Yu Gothic UI"/>
        <family val="2"/>
      </rPr>
      <t>light gray</t>
    </r>
  </si>
  <si>
    <r>
      <rPr>
        <b/>
        <sz val="3"/>
        <rFont val="Yu Gothic UI"/>
        <family val="2"/>
      </rPr>
      <t>infilling  cushion.</t>
    </r>
  </si>
  <si>
    <r>
      <rPr>
        <b/>
        <sz val="4"/>
        <rFont val="Yu Gothic UI"/>
        <family val="2"/>
      </rPr>
      <t>light gray: 10+</t>
    </r>
  </si>
  <si>
    <r>
      <rPr>
        <b/>
        <sz val="3"/>
        <rFont val="Yu Gothic UI"/>
        <family val="2"/>
      </rPr>
      <t>ottoman:  134</t>
    </r>
  </si>
  <si>
    <r>
      <rPr>
        <b/>
        <sz val="3"/>
        <rFont val="Yu Gothic UI"/>
        <family val="2"/>
      </rPr>
      <t>ottoman:  186</t>
    </r>
  </si>
  <si>
    <r>
      <rPr>
        <sz val="2.5"/>
        <rFont val="Microsoft YaHei"/>
        <family val="2"/>
      </rPr>
      <t>98*98*45</t>
    </r>
  </si>
  <si>
    <r>
      <rPr>
        <sz val="2.5"/>
        <rFont val="Microsoft YaHei"/>
        <family val="2"/>
      </rPr>
      <t>98*98*27</t>
    </r>
  </si>
  <si>
    <r>
      <rPr>
        <b/>
        <sz val="3"/>
        <rFont val="Yu Gothic UI"/>
        <family val="2"/>
      </rPr>
      <t>AF-SF004</t>
    </r>
  </si>
  <si>
    <r>
      <rPr>
        <b/>
        <sz val="3.5"/>
        <rFont val="Yu Gothic UI"/>
        <family val="2"/>
      </rPr>
      <t>beige light gray black</t>
    </r>
  </si>
  <si>
    <r>
      <rPr>
        <b/>
        <sz val="3"/>
        <rFont val="Yu Gothic UI"/>
        <family val="2"/>
      </rPr>
      <t xml:space="preserve">Chenille -blend fabric
</t>
    </r>
    <r>
      <rPr>
        <b/>
        <sz val="3"/>
        <rFont val="Yu Gothic UI"/>
        <family val="2"/>
      </rPr>
      <t>+ shredded  PU foam &amp; polyester  fiberfill seat cushion,  polyester fiberfill  back cushion, springs  &amp; webbing, plywood,  plastic components</t>
    </r>
  </si>
  <si>
    <r>
      <rPr>
        <sz val="2.5"/>
        <rFont val="Microsoft YaHei"/>
        <family val="2"/>
      </rPr>
      <t>300*100*65 （ without back cushion ）</t>
    </r>
  </si>
  <si>
    <r>
      <rPr>
        <sz val="2.5"/>
        <rFont val="Microsoft YaHei"/>
        <family val="2"/>
      </rPr>
      <t>103*100*26  each</t>
    </r>
  </si>
  <si>
    <r>
      <rPr>
        <sz val="2.5"/>
        <rFont val="Microsoft YaHei"/>
        <family val="2"/>
      </rPr>
      <t xml:space="preserve">0.268 each
</t>
    </r>
    <r>
      <rPr>
        <sz val="2.5"/>
        <rFont val="Microsoft YaHei"/>
        <family val="2"/>
      </rPr>
      <t>1.06 total</t>
    </r>
  </si>
  <si>
    <r>
      <rPr>
        <sz val="2.5"/>
        <rFont val="Microsoft YaHei"/>
        <family val="2"/>
      </rPr>
      <t xml:space="preserve">33.3
</t>
    </r>
    <r>
      <rPr>
        <sz val="2.5"/>
        <rFont val="Microsoft YaHei"/>
        <family val="2"/>
      </rPr>
      <t xml:space="preserve">33.3
</t>
    </r>
    <r>
      <rPr>
        <sz val="2.5"/>
        <rFont val="Microsoft YaHei"/>
        <family val="2"/>
      </rPr>
      <t xml:space="preserve">28.1
</t>
    </r>
    <r>
      <rPr>
        <sz val="2.5"/>
        <rFont val="Microsoft YaHei"/>
        <family val="2"/>
      </rPr>
      <t>20.4</t>
    </r>
  </si>
  <si>
    <r>
      <rPr>
        <b/>
        <sz val="4"/>
        <rFont val="Yu Gothic UI"/>
        <family val="2"/>
      </rPr>
      <t xml:space="preserve">beige: 10+
</t>
    </r>
    <r>
      <rPr>
        <b/>
        <sz val="4"/>
        <rFont val="Yu Gothic UI"/>
        <family val="2"/>
      </rPr>
      <t xml:space="preserve">light gray: 10+
</t>
    </r>
    <r>
      <rPr>
        <b/>
        <sz val="4"/>
        <rFont val="Yu Gothic UI"/>
        <family val="2"/>
      </rPr>
      <t>black: 10+</t>
    </r>
  </si>
  <si>
    <r>
      <rPr>
        <b/>
        <sz val="3"/>
        <rFont val="Yu Gothic UI"/>
        <family val="2"/>
      </rPr>
      <t>left/right:  $187</t>
    </r>
  </si>
  <si>
    <r>
      <rPr>
        <b/>
        <sz val="3"/>
        <rFont val="Yu Gothic UI"/>
        <family val="2"/>
      </rPr>
      <t>left/right:  $260</t>
    </r>
  </si>
  <si>
    <r>
      <rPr>
        <sz val="2.5"/>
        <rFont val="Microsoft YaHei"/>
        <family val="2"/>
      </rPr>
      <t>103*101*28</t>
    </r>
  </si>
  <si>
    <r>
      <rPr>
        <b/>
        <sz val="4"/>
        <rFont val="Yu Gothic UI"/>
        <family val="2"/>
      </rPr>
      <t>Green: 5</t>
    </r>
  </si>
  <si>
    <r>
      <rPr>
        <b/>
        <sz val="3"/>
        <rFont val="Yu Gothic UI"/>
        <family val="2"/>
      </rPr>
      <t>MH-SF120</t>
    </r>
  </si>
  <si>
    <r>
      <rPr>
        <b/>
        <sz val="3.5"/>
        <rFont val="Yu Gothic UI"/>
        <family val="2"/>
      </rPr>
      <t>light gray orange white green</t>
    </r>
  </si>
  <si>
    <r>
      <rPr>
        <b/>
        <sz val="3"/>
        <rFont val="Yu Gothic UI"/>
        <family val="2"/>
      </rPr>
      <t xml:space="preserve">Velvet  fabric  + PU foam + down  feather
</t>
    </r>
    <r>
      <rPr>
        <b/>
        <sz val="3"/>
        <rFont val="Yu Gothic UI"/>
        <family val="2"/>
      </rPr>
      <t>+ polyester  fiberfill  + plywood  + solid pine wood</t>
    </r>
  </si>
  <si>
    <r>
      <rPr>
        <b/>
        <sz val="3"/>
        <rFont val="Yu Gothic UI"/>
        <family val="2"/>
      </rPr>
      <t>armless:  $171</t>
    </r>
  </si>
  <si>
    <r>
      <rPr>
        <b/>
        <sz val="3"/>
        <rFont val="Yu Gothic UI"/>
        <family val="2"/>
      </rPr>
      <t>armless:$238</t>
    </r>
  </si>
  <si>
    <r>
      <rPr>
        <sz val="2.5"/>
        <rFont val="Microsoft YaHei"/>
        <family val="2"/>
      </rPr>
      <t>102*110*93</t>
    </r>
  </si>
  <si>
    <r>
      <rPr>
        <sz val="2.5"/>
        <rFont val="Microsoft YaHei"/>
        <family val="2"/>
      </rPr>
      <t>103*101*29</t>
    </r>
  </si>
  <si>
    <r>
      <rPr>
        <b/>
        <sz val="4"/>
        <rFont val="Yu Gothic UI"/>
        <family val="2"/>
      </rPr>
      <t>light gray: 6</t>
    </r>
  </si>
  <si>
    <r>
      <rPr>
        <b/>
        <sz val="3"/>
        <rFont val="Yu Gothic UI"/>
        <family val="2"/>
      </rPr>
      <t>ottoman:  $148</t>
    </r>
  </si>
  <si>
    <r>
      <rPr>
        <b/>
        <sz val="3"/>
        <rFont val="Yu Gothic UI"/>
        <family val="2"/>
      </rPr>
      <t>ottoman:  $206</t>
    </r>
  </si>
  <si>
    <r>
      <rPr>
        <sz val="2.5"/>
        <rFont val="Microsoft YaHei"/>
        <family val="2"/>
      </rPr>
      <t>102*110*49</t>
    </r>
  </si>
  <si>
    <r>
      <rPr>
        <sz val="2.5"/>
        <rFont val="Microsoft YaHei"/>
        <family val="2"/>
      </rPr>
      <t>103*101*30</t>
    </r>
  </si>
  <si>
    <r>
      <rPr>
        <b/>
        <sz val="4"/>
        <rFont val="Yu Gothic UI"/>
        <family val="2"/>
      </rPr>
      <t>orange:  3</t>
    </r>
  </si>
  <si>
    <r>
      <rPr>
        <b/>
        <sz val="3"/>
        <rFont val="Yu Gothic UI"/>
        <family val="2"/>
      </rPr>
      <t>corner:  $214</t>
    </r>
  </si>
  <si>
    <r>
      <rPr>
        <b/>
        <sz val="3"/>
        <rFont val="Yu Gothic UI"/>
        <family val="2"/>
      </rPr>
      <t>corner:  $297</t>
    </r>
  </si>
  <si>
    <r>
      <rPr>
        <sz val="2.5"/>
        <rFont val="Microsoft YaHei"/>
        <family val="2"/>
      </rPr>
      <t>110*110*93</t>
    </r>
  </si>
  <si>
    <r>
      <rPr>
        <sz val="2.5"/>
        <rFont val="Microsoft YaHei"/>
        <family val="2"/>
      </rPr>
      <t>103*101*31</t>
    </r>
  </si>
  <si>
    <r>
      <rPr>
        <b/>
        <sz val="4"/>
        <rFont val="Yu Gothic UI"/>
        <family val="2"/>
      </rPr>
      <t>white: 5</t>
    </r>
  </si>
  <si>
    <r>
      <rPr>
        <b/>
        <sz val="3"/>
        <rFont val="Yu Gothic UI"/>
        <family val="2"/>
      </rPr>
      <t>MH-SF121</t>
    </r>
  </si>
  <si>
    <r>
      <rPr>
        <b/>
        <sz val="3.5"/>
        <rFont val="Yu Gothic UI"/>
        <family val="2"/>
      </rPr>
      <t>black light gray white</t>
    </r>
  </si>
  <si>
    <r>
      <rPr>
        <b/>
        <sz val="3"/>
        <rFont val="Yu Gothic UI"/>
        <family val="2"/>
      </rPr>
      <t>left/right:  $188</t>
    </r>
  </si>
  <si>
    <r>
      <rPr>
        <b/>
        <sz val="3"/>
        <rFont val="Yu Gothic UI"/>
        <family val="2"/>
      </rPr>
      <t>left/right:  $261</t>
    </r>
  </si>
  <si>
    <r>
      <rPr>
        <sz val="2.5"/>
        <rFont val="Microsoft YaHei"/>
        <family val="2"/>
      </rPr>
      <t>100*100*59</t>
    </r>
  </si>
  <si>
    <r>
      <rPr>
        <sz val="2.5"/>
        <rFont val="Microsoft YaHei"/>
        <family val="2"/>
      </rPr>
      <t>102.5*102*30</t>
    </r>
  </si>
  <si>
    <r>
      <rPr>
        <b/>
        <sz val="4"/>
        <rFont val="Yu Gothic UI"/>
        <family val="2"/>
      </rPr>
      <t>black: 5</t>
    </r>
  </si>
  <si>
    <r>
      <rPr>
        <b/>
        <sz val="3"/>
        <rFont val="Yu Gothic UI"/>
        <family val="2"/>
      </rPr>
      <t>armless:  $177</t>
    </r>
  </si>
  <si>
    <r>
      <rPr>
        <b/>
        <sz val="3"/>
        <rFont val="Yu Gothic UI"/>
        <family val="2"/>
      </rPr>
      <t>armless:  $246</t>
    </r>
  </si>
  <si>
    <r>
      <rPr>
        <sz val="2.5"/>
        <rFont val="Microsoft YaHei"/>
        <family val="2"/>
      </rPr>
      <t>102.5*102*31</t>
    </r>
  </si>
  <si>
    <r>
      <rPr>
        <b/>
        <sz val="4"/>
        <rFont val="Yu Gothic UI"/>
        <family val="2"/>
      </rPr>
      <t>light gray: 4</t>
    </r>
  </si>
  <si>
    <r>
      <rPr>
        <b/>
        <sz val="3"/>
        <rFont val="Yu Gothic UI"/>
        <family val="2"/>
      </rPr>
      <t>ottoman:  $153</t>
    </r>
  </si>
  <si>
    <r>
      <rPr>
        <b/>
        <sz val="3"/>
        <rFont val="Yu Gothic UI"/>
        <family val="2"/>
      </rPr>
      <t>ottoman:$213</t>
    </r>
  </si>
  <si>
    <r>
      <rPr>
        <sz val="2.5"/>
        <rFont val="Microsoft YaHei"/>
        <family val="2"/>
      </rPr>
      <t>100*100*47</t>
    </r>
  </si>
  <si>
    <r>
      <rPr>
        <sz val="2.5"/>
        <rFont val="Microsoft YaHei"/>
        <family val="2"/>
      </rPr>
      <t>102.5*102*32</t>
    </r>
  </si>
  <si>
    <r>
      <rPr>
        <b/>
        <sz val="4"/>
        <rFont val="Yu Gothic UI"/>
        <family val="2"/>
      </rPr>
      <t>white: 4</t>
    </r>
  </si>
  <si>
    <r>
      <rPr>
        <b/>
        <sz val="3"/>
        <rFont val="Yu Gothic UI"/>
        <family val="2"/>
      </rPr>
      <t>MH-SF126</t>
    </r>
  </si>
  <si>
    <r>
      <rPr>
        <b/>
        <sz val="3.5"/>
        <rFont val="Yu Gothic UI"/>
        <family val="2"/>
      </rPr>
      <t>black beige brown</t>
    </r>
  </si>
  <si>
    <r>
      <rPr>
        <b/>
        <sz val="3"/>
        <rFont val="Yu Gothic UI"/>
        <family val="2"/>
      </rPr>
      <t>Corduroy  fabric  + PU foam + plywood</t>
    </r>
  </si>
  <si>
    <r>
      <rPr>
        <b/>
        <sz val="3"/>
        <rFont val="Yu Gothic UI"/>
        <family val="2"/>
      </rPr>
      <t>left/right:  $220</t>
    </r>
  </si>
  <si>
    <r>
      <rPr>
        <b/>
        <sz val="3"/>
        <rFont val="Yu Gothic UI"/>
        <family val="2"/>
      </rPr>
      <t>left/right:  $306</t>
    </r>
  </si>
  <si>
    <r>
      <rPr>
        <sz val="2.5"/>
        <rFont val="Microsoft YaHei"/>
        <family val="2"/>
      </rPr>
      <t>130*110*63</t>
    </r>
  </si>
  <si>
    <r>
      <rPr>
        <sz val="2.5"/>
        <rFont val="Microsoft YaHei"/>
        <family val="2"/>
      </rPr>
      <t>107*86*35</t>
    </r>
  </si>
  <si>
    <r>
      <rPr>
        <b/>
        <sz val="4"/>
        <rFont val="Yu Gothic UI"/>
        <family val="2"/>
      </rPr>
      <t>beige: 5</t>
    </r>
  </si>
  <si>
    <r>
      <rPr>
        <b/>
        <sz val="3"/>
        <rFont val="Yu Gothic UI"/>
        <family val="2"/>
      </rPr>
      <t>armless:  $198</t>
    </r>
  </si>
  <si>
    <r>
      <rPr>
        <b/>
        <sz val="3"/>
        <rFont val="Yu Gothic UI"/>
        <family val="2"/>
      </rPr>
      <t>armless:  $275</t>
    </r>
  </si>
  <si>
    <r>
      <rPr>
        <sz val="2.5"/>
        <rFont val="Microsoft YaHei"/>
        <family val="2"/>
      </rPr>
      <t>100*110*63</t>
    </r>
  </si>
  <si>
    <r>
      <rPr>
        <sz val="2.5"/>
        <rFont val="Microsoft YaHei"/>
        <family val="2"/>
      </rPr>
      <t>107*86*30</t>
    </r>
  </si>
  <si>
    <r>
      <rPr>
        <b/>
        <sz val="4"/>
        <rFont val="Yu Gothic UI"/>
        <family val="2"/>
      </rPr>
      <t>black: 1</t>
    </r>
  </si>
  <si>
    <r>
      <rPr>
        <b/>
        <sz val="3"/>
        <rFont val="Yu Gothic UI"/>
        <family val="2"/>
      </rPr>
      <t>ottoman:  $115</t>
    </r>
  </si>
  <si>
    <r>
      <rPr>
        <b/>
        <sz val="3"/>
        <rFont val="Yu Gothic UI"/>
        <family val="2"/>
      </rPr>
      <t>ottoman:  $160</t>
    </r>
  </si>
  <si>
    <r>
      <rPr>
        <sz val="2.5"/>
        <rFont val="Microsoft YaHei"/>
        <family val="2"/>
      </rPr>
      <t>100*80*40</t>
    </r>
  </si>
  <si>
    <r>
      <rPr>
        <sz val="2.5"/>
        <rFont val="Microsoft YaHei"/>
        <family val="2"/>
      </rPr>
      <t>108*86*20</t>
    </r>
  </si>
  <si>
    <r>
      <rPr>
        <b/>
        <sz val="4"/>
        <rFont val="Yu Gothic UI"/>
        <family val="2"/>
      </rPr>
      <t>brown: 3</t>
    </r>
  </si>
  <si>
    <r>
      <rPr>
        <b/>
        <sz val="3"/>
        <rFont val="Yu Gothic UI"/>
        <family val="2"/>
      </rPr>
      <t>AF-SF012</t>
    </r>
  </si>
  <si>
    <r>
      <rPr>
        <b/>
        <sz val="3.5"/>
        <rFont val="Yu Gothic UI"/>
        <family val="2"/>
      </rPr>
      <t>beige brown white</t>
    </r>
  </si>
  <si>
    <r>
      <rPr>
        <b/>
        <sz val="3"/>
        <rFont val="Yu Gothic UI"/>
        <family val="2"/>
      </rPr>
      <t>Suede fabric  + PU foam</t>
    </r>
  </si>
  <si>
    <r>
      <rPr>
        <b/>
        <sz val="3"/>
        <rFont val="Yu Gothic UI"/>
        <family val="2"/>
      </rPr>
      <t>singel seater:  $237</t>
    </r>
  </si>
  <si>
    <r>
      <rPr>
        <b/>
        <sz val="3"/>
        <rFont val="Yu Gothic UI"/>
        <family val="2"/>
      </rPr>
      <t>singel  seater: $329.43</t>
    </r>
  </si>
  <si>
    <r>
      <rPr>
        <sz val="2.5"/>
        <rFont val="Microsoft YaHei"/>
        <family val="2"/>
      </rPr>
      <t>103*88*68</t>
    </r>
  </si>
  <si>
    <r>
      <rPr>
        <sz val="2.5"/>
        <rFont val="Microsoft YaHei"/>
        <family val="2"/>
      </rPr>
      <t>100*90*68</t>
    </r>
  </si>
  <si>
    <r>
      <rPr>
        <b/>
        <sz val="4"/>
        <rFont val="Yu Gothic UI"/>
        <family val="2"/>
      </rPr>
      <t xml:space="preserve">beige: 4
</t>
    </r>
    <r>
      <rPr>
        <b/>
        <sz val="4"/>
        <rFont val="Yu Gothic UI"/>
        <family val="2"/>
      </rPr>
      <t>brown: 10+</t>
    </r>
  </si>
  <si>
    <r>
      <rPr>
        <b/>
        <sz val="3"/>
        <rFont val="Yu Gothic UI"/>
        <family val="2"/>
      </rPr>
      <t>three seater:  $519</t>
    </r>
  </si>
  <si>
    <r>
      <rPr>
        <b/>
        <sz val="3"/>
        <rFont val="Yu Gothic UI"/>
        <family val="2"/>
      </rPr>
      <t>three seater:  $721</t>
    </r>
  </si>
  <si>
    <r>
      <rPr>
        <sz val="2.5"/>
        <rFont val="Microsoft YaHei"/>
        <family val="2"/>
      </rPr>
      <t>103*174*70</t>
    </r>
  </si>
  <si>
    <r>
      <rPr>
        <sz val="2.5"/>
        <rFont val="Microsoft YaHei"/>
        <family val="2"/>
      </rPr>
      <t>100*184*68</t>
    </r>
  </si>
  <si>
    <r>
      <rPr>
        <b/>
        <sz val="4"/>
        <rFont val="Yu Gothic UI"/>
        <family val="2"/>
      </rPr>
      <t xml:space="preserve">beige: 4
</t>
    </r>
    <r>
      <rPr>
        <b/>
        <sz val="4"/>
        <rFont val="Yu Gothic UI"/>
        <family val="2"/>
      </rPr>
      <t>brown: 1</t>
    </r>
  </si>
  <si>
    <r>
      <rPr>
        <b/>
        <sz val="3"/>
        <rFont val="Yu Gothic UI"/>
        <family val="2"/>
      </rPr>
      <t>MH-SF127</t>
    </r>
  </si>
  <si>
    <r>
      <rPr>
        <b/>
        <sz val="3.5"/>
        <rFont val="Yu Gothic UI"/>
        <family val="2"/>
      </rPr>
      <t>black white</t>
    </r>
  </si>
  <si>
    <r>
      <rPr>
        <b/>
        <sz val="3"/>
        <rFont val="Yu Gothic UI"/>
        <family val="2"/>
      </rPr>
      <t>Linen fabric  + PU foam + plywood</t>
    </r>
  </si>
  <si>
    <r>
      <rPr>
        <b/>
        <sz val="3"/>
        <rFont val="Yu Gothic UI"/>
        <family val="2"/>
      </rPr>
      <t>left/right:  $208</t>
    </r>
  </si>
  <si>
    <r>
      <rPr>
        <b/>
        <sz val="3"/>
        <rFont val="Yu Gothic UI"/>
        <family val="2"/>
      </rPr>
      <t>left/right:  $289</t>
    </r>
  </si>
  <si>
    <r>
      <rPr>
        <sz val="2.5"/>
        <rFont val="Microsoft YaHei"/>
        <family val="2"/>
      </rPr>
      <t>133*103*63</t>
    </r>
  </si>
  <si>
    <r>
      <rPr>
        <sz val="2.5"/>
        <rFont val="Microsoft YaHei"/>
        <family val="2"/>
      </rPr>
      <t>100*103*63</t>
    </r>
  </si>
  <si>
    <r>
      <rPr>
        <b/>
        <sz val="4"/>
        <rFont val="Yu Gothic UI"/>
        <family val="2"/>
      </rPr>
      <t>black: 8</t>
    </r>
  </si>
  <si>
    <r>
      <rPr>
        <b/>
        <sz val="3"/>
        <rFont val="Yu Gothic UI"/>
        <family val="2"/>
      </rPr>
      <t>armless:  $175</t>
    </r>
  </si>
  <si>
    <r>
      <rPr>
        <b/>
        <sz val="3"/>
        <rFont val="Yu Gothic UI"/>
        <family val="2"/>
      </rPr>
      <t>armless:  $243</t>
    </r>
  </si>
  <si>
    <r>
      <rPr>
        <sz val="2.5"/>
        <rFont val="Microsoft YaHei"/>
        <family val="2"/>
      </rPr>
      <t>100*70*39</t>
    </r>
  </si>
  <si>
    <r>
      <rPr>
        <b/>
        <sz val="3"/>
        <rFont val="Yu Gothic UI"/>
        <family val="2"/>
      </rPr>
      <t>ottoman:  $124</t>
    </r>
  </si>
  <si>
    <r>
      <rPr>
        <b/>
        <sz val="3"/>
        <rFont val="Yu Gothic UI"/>
        <family val="2"/>
      </rPr>
      <t>ottoman:  $172</t>
    </r>
  </si>
  <si>
    <r>
      <rPr>
        <b/>
        <sz val="4"/>
        <rFont val="Yu Gothic UI"/>
        <family val="2"/>
      </rPr>
      <t>white: 8</t>
    </r>
  </si>
  <si>
    <r>
      <rPr>
        <b/>
        <sz val="3"/>
        <rFont val="Yu Gothic UI"/>
        <family val="2"/>
      </rPr>
      <t>big corner:  $239</t>
    </r>
  </si>
  <si>
    <r>
      <rPr>
        <b/>
        <sz val="3"/>
        <rFont val="Yu Gothic UI"/>
        <family val="2"/>
      </rPr>
      <t>big corner:  $332</t>
    </r>
  </si>
  <si>
    <r>
      <rPr>
        <sz val="2.5"/>
        <rFont val="Microsoft YaHei"/>
        <family val="2"/>
      </rPr>
      <t>133*133*63</t>
    </r>
  </si>
  <si>
    <r>
      <rPr>
        <sz val="2.5"/>
        <rFont val="Microsoft YaHei"/>
        <family val="2"/>
      </rPr>
      <t>106*107*31</t>
    </r>
  </si>
  <si>
    <r>
      <rPr>
        <b/>
        <sz val="3"/>
        <rFont val="Yu Gothic UI"/>
        <family val="2"/>
      </rPr>
      <t>AF-SF023</t>
    </r>
  </si>
  <si>
    <r>
      <rPr>
        <b/>
        <sz val="3.5"/>
        <rFont val="Yu Gothic UI"/>
        <family val="2"/>
      </rPr>
      <t>brown white</t>
    </r>
  </si>
  <si>
    <r>
      <rPr>
        <b/>
        <sz val="3"/>
        <rFont val="Yu Gothic UI"/>
        <family val="2"/>
      </rPr>
      <t>Velvet  fabric  + PU foam + polyester fiberfill  + down feather  + solid wood frame + black  titanium  stainless  steel pedestal  leg</t>
    </r>
  </si>
  <si>
    <r>
      <rPr>
        <sz val="2.5"/>
        <rFont val="Microsoft YaHei"/>
        <family val="2"/>
      </rPr>
      <t>95*93*70</t>
    </r>
  </si>
  <si>
    <r>
      <rPr>
        <sz val="2.5"/>
        <rFont val="Microsoft YaHei"/>
        <family val="2"/>
      </rPr>
      <t>95*95*68</t>
    </r>
  </si>
  <si>
    <r>
      <rPr>
        <b/>
        <sz val="4"/>
        <rFont val="Yu Gothic UI"/>
        <family val="2"/>
      </rPr>
      <t xml:space="preserve">brown: 8
</t>
    </r>
    <r>
      <rPr>
        <b/>
        <sz val="4"/>
        <rFont val="Yu Gothic UI"/>
        <family val="2"/>
      </rPr>
      <t>white: 10</t>
    </r>
  </si>
  <si>
    <r>
      <rPr>
        <b/>
        <sz val="3"/>
        <rFont val="Yu Gothic UI"/>
        <family val="2"/>
      </rPr>
      <t>AF-SF024</t>
    </r>
  </si>
  <si>
    <r>
      <rPr>
        <sz val="2.5"/>
        <rFont val="Microsoft YaHei"/>
        <family val="2"/>
      </rPr>
      <t>246*125*75</t>
    </r>
  </si>
  <si>
    <r>
      <rPr>
        <sz val="2.5"/>
        <rFont val="Microsoft YaHei"/>
        <family val="2"/>
      </rPr>
      <t>248*129*48</t>
    </r>
  </si>
  <si>
    <r>
      <rPr>
        <b/>
        <sz val="4"/>
        <rFont val="Yu Gothic UI"/>
        <family val="2"/>
      </rPr>
      <t xml:space="preserve">brown:  10
</t>
    </r>
    <r>
      <rPr>
        <b/>
        <sz val="4"/>
        <rFont val="Yu Gothic UI"/>
        <family val="2"/>
      </rPr>
      <t>white: 10</t>
    </r>
  </si>
  <si>
    <r>
      <rPr>
        <b/>
        <sz val="3"/>
        <rFont val="Yu Gothic UI"/>
        <family val="2"/>
      </rPr>
      <t>AF-LC01</t>
    </r>
  </si>
  <si>
    <r>
      <rPr>
        <b/>
        <sz val="3"/>
        <rFont val="Yu Gothic UI"/>
        <family val="2"/>
      </rPr>
      <t>Genuine  leather  + PU foam + solid pine wood + lacquered board  + metal legs</t>
    </r>
  </si>
  <si>
    <r>
      <rPr>
        <sz val="2.5"/>
        <rFont val="Microsoft YaHei"/>
        <family val="2"/>
      </rPr>
      <t>chair: 87.5*68*86 otto: 64*50*42.5</t>
    </r>
  </si>
  <si>
    <r>
      <rPr>
        <sz val="2.5"/>
        <rFont val="Microsoft YaHei"/>
        <family val="2"/>
      </rPr>
      <t>chair: 99*90*53 otto: 64*65*36</t>
    </r>
  </si>
  <si>
    <r>
      <rPr>
        <sz val="2.5"/>
        <rFont val="Microsoft YaHei"/>
        <family val="2"/>
      </rPr>
      <t xml:space="preserve">chair: 24.6
</t>
    </r>
    <r>
      <rPr>
        <sz val="2.5"/>
        <rFont val="Microsoft YaHei"/>
        <family val="2"/>
      </rPr>
      <t>otto: 12.7</t>
    </r>
  </si>
  <si>
    <r>
      <rPr>
        <b/>
        <sz val="4"/>
        <rFont val="Yu Gothic UI"/>
        <family val="2"/>
      </rPr>
      <t xml:space="preserve">black: 8
</t>
    </r>
    <r>
      <rPr>
        <b/>
        <sz val="4"/>
        <rFont val="Yu Gothic UI"/>
        <family val="2"/>
      </rPr>
      <t>white: 9</t>
    </r>
  </si>
  <si>
    <r>
      <rPr>
        <b/>
        <sz val="3"/>
        <rFont val="Yu Gothic UI"/>
        <family val="2"/>
      </rPr>
      <t>AF-UP50</t>
    </r>
  </si>
  <si>
    <r>
      <rPr>
        <b/>
        <sz val="3.5"/>
        <rFont val="Yu Gothic UI"/>
        <family val="2"/>
      </rPr>
      <t>blue white</t>
    </r>
  </si>
  <si>
    <r>
      <rPr>
        <b/>
        <sz val="3"/>
        <rFont val="Yu Gothic UI"/>
        <family val="2"/>
      </rPr>
      <t>Spandex  &amp; polyester blended  fabric  + PU foam</t>
    </r>
  </si>
  <si>
    <r>
      <rPr>
        <sz val="2.5"/>
        <rFont val="Microsoft YaHei"/>
        <family val="2"/>
      </rPr>
      <t>102*120*95</t>
    </r>
  </si>
  <si>
    <r>
      <rPr>
        <sz val="2.5"/>
        <rFont val="Microsoft YaHei"/>
        <family val="2"/>
      </rPr>
      <t>107*125*100</t>
    </r>
  </si>
  <si>
    <r>
      <rPr>
        <b/>
        <sz val="4"/>
        <rFont val="Yu Gothic UI"/>
        <family val="2"/>
      </rPr>
      <t xml:space="preserve">blue: 5
</t>
    </r>
    <r>
      <rPr>
        <b/>
        <sz val="4"/>
        <rFont val="Yu Gothic UI"/>
        <family val="2"/>
      </rPr>
      <t>red: 5</t>
    </r>
  </si>
  <si>
    <r>
      <rPr>
        <b/>
        <sz val="3"/>
        <rFont val="Yu Gothic UI"/>
        <family val="2"/>
      </rPr>
      <t>AF-SF129</t>
    </r>
  </si>
  <si>
    <r>
      <rPr>
        <b/>
        <sz val="3"/>
        <rFont val="Yu Gothic UI"/>
        <family val="2"/>
      </rPr>
      <t>3D knitted  fabric  (dot texture)  + polyester fiber + PU foam</t>
    </r>
  </si>
  <si>
    <r>
      <rPr>
        <sz val="2.5"/>
        <rFont val="Microsoft YaHei"/>
        <family val="2"/>
      </rPr>
      <t>130*105*70</t>
    </r>
  </si>
  <si>
    <r>
      <rPr>
        <sz val="2.5"/>
        <rFont val="Microsoft YaHei"/>
        <family val="2"/>
      </rPr>
      <t>140*35*35</t>
    </r>
  </si>
  <si>
    <r>
      <rPr>
        <b/>
        <sz val="3"/>
        <rFont val="Yu Gothic UI"/>
        <family val="2"/>
      </rPr>
      <t>AF-SF006</t>
    </r>
  </si>
  <si>
    <r>
      <rPr>
        <b/>
        <sz val="3.5"/>
        <rFont val="Yu Gothic UI"/>
        <family val="2"/>
      </rPr>
      <t>beige orange</t>
    </r>
  </si>
  <si>
    <r>
      <rPr>
        <b/>
        <sz val="2.5"/>
        <rFont val="Yu Gothic UI"/>
        <family val="2"/>
      </rPr>
      <t>Velvet  fabric  upholstery, PU foam  padding,  solid pine  wood  and  plywood frame,  solid  wood  legs.</t>
    </r>
  </si>
  <si>
    <r>
      <rPr>
        <sz val="2.5"/>
        <rFont val="Microsoft YaHei"/>
        <family val="2"/>
      </rPr>
      <t>left/right:  94*94*67 mid: 94*94*67 otto: 94*94*42</t>
    </r>
  </si>
  <si>
    <r>
      <rPr>
        <sz val="2.5"/>
        <rFont val="Microsoft YaHei"/>
        <family val="2"/>
      </rPr>
      <t xml:space="preserve">88.9*88.9*38.1
</t>
    </r>
    <r>
      <rPr>
        <sz val="2.5"/>
        <rFont val="Microsoft YaHei"/>
        <family val="2"/>
      </rPr>
      <t>for each box</t>
    </r>
  </si>
  <si>
    <r>
      <rPr>
        <sz val="2.5"/>
        <rFont val="Microsoft YaHei"/>
        <family val="2"/>
      </rPr>
      <t xml:space="preserve">left/right:  27.27
</t>
    </r>
    <r>
      <rPr>
        <sz val="2.5"/>
        <rFont val="Microsoft YaHei"/>
        <family val="2"/>
      </rPr>
      <t xml:space="preserve">mid: 24.55
</t>
    </r>
    <r>
      <rPr>
        <sz val="2.5"/>
        <rFont val="Microsoft YaHei"/>
        <family val="2"/>
      </rPr>
      <t>otto: 17.27</t>
    </r>
  </si>
  <si>
    <r>
      <rPr>
        <b/>
        <sz val="4"/>
        <rFont val="Yu Gothic UI"/>
        <family val="2"/>
      </rPr>
      <t xml:space="preserve">beige: 7
</t>
    </r>
    <r>
      <rPr>
        <b/>
        <sz val="4"/>
        <rFont val="Yu Gothic UI"/>
        <family val="2"/>
      </rPr>
      <t>orange:  7</t>
    </r>
  </si>
  <si>
    <r>
      <rPr>
        <b/>
        <sz val="3"/>
        <rFont val="Yu Gothic UI"/>
        <family val="2"/>
      </rPr>
      <t>AF-SF007</t>
    </r>
  </si>
  <si>
    <r>
      <rPr>
        <b/>
        <sz val="3"/>
        <rFont val="Yu Gothic UI"/>
        <family val="2"/>
      </rPr>
      <t xml:space="preserve">Bouclé (lamb  fleece) fabric  + PU foam + solid pine wood + plywood  + electroplated  stainless
</t>
    </r>
    <r>
      <rPr>
        <b/>
        <sz val="3"/>
        <rFont val="Yu Gothic UI"/>
        <family val="2"/>
      </rPr>
      <t>steel base</t>
    </r>
  </si>
  <si>
    <r>
      <rPr>
        <sz val="2.5"/>
        <rFont val="Microsoft YaHei"/>
        <family val="2"/>
      </rPr>
      <t>80*80*72</t>
    </r>
  </si>
  <si>
    <r>
      <rPr>
        <sz val="2.5"/>
        <rFont val="Microsoft YaHei"/>
        <family val="2"/>
      </rPr>
      <t>78*85*70</t>
    </r>
  </si>
  <si>
    <r>
      <rPr>
        <b/>
        <sz val="3"/>
        <rFont val="Yu Gothic UI"/>
        <family val="2"/>
      </rPr>
      <t>MH-SF134</t>
    </r>
  </si>
  <si>
    <r>
      <rPr>
        <sz val="2.5"/>
        <rFont val="Microsoft YaHei"/>
        <family val="2"/>
      </rPr>
      <t>230*105*75</t>
    </r>
  </si>
  <si>
    <r>
      <rPr>
        <sz val="2.5"/>
        <rFont val="Microsoft YaHei"/>
        <family val="2"/>
      </rPr>
      <t>125*45*45</t>
    </r>
  </si>
  <si>
    <r>
      <rPr>
        <b/>
        <sz val="4"/>
        <rFont val="Yu Gothic UI"/>
        <family val="2"/>
      </rPr>
      <t xml:space="preserve">black: 3
</t>
    </r>
    <r>
      <rPr>
        <b/>
        <sz val="4"/>
        <rFont val="Yu Gothic UI"/>
        <family val="2"/>
      </rPr>
      <t>white: 4</t>
    </r>
  </si>
  <si>
    <r>
      <rPr>
        <b/>
        <sz val="3"/>
        <rFont val="Yu Gothic UI"/>
        <family val="2"/>
      </rPr>
      <t>MH-AC003</t>
    </r>
  </si>
  <si>
    <r>
      <rPr>
        <b/>
        <sz val="3.5"/>
        <rFont val="Yu Gothic UI"/>
        <family val="2"/>
      </rPr>
      <t>beige black brown</t>
    </r>
  </si>
  <si>
    <r>
      <rPr>
        <b/>
        <sz val="3"/>
        <rFont val="Yu Gothic UI"/>
        <family val="2"/>
      </rPr>
      <t xml:space="preserve">Upholstered  in faux rabbit  fur (long-pile), filled with PU foam and down  feather, supported  by a solid
</t>
    </r>
    <r>
      <rPr>
        <b/>
        <sz val="3"/>
        <rFont val="Yu Gothic UI"/>
        <family val="2"/>
      </rPr>
      <t>ash wood frame.</t>
    </r>
  </si>
  <si>
    <r>
      <rPr>
        <sz val="2.5"/>
        <rFont val="Microsoft YaHei"/>
        <family val="2"/>
      </rPr>
      <t>120*130*90</t>
    </r>
  </si>
  <si>
    <r>
      <rPr>
        <sz val="2.5"/>
        <rFont val="Microsoft YaHei"/>
        <family val="2"/>
      </rPr>
      <t>122*75*21</t>
    </r>
  </si>
  <si>
    <r>
      <rPr>
        <b/>
        <sz val="3"/>
        <rFont val="Yu Gothic UI"/>
        <family val="2"/>
      </rPr>
      <t>AF-B2407</t>
    </r>
  </si>
  <si>
    <r>
      <rPr>
        <b/>
        <sz val="3.5"/>
        <rFont val="Yu Gothic UI"/>
        <family val="2"/>
      </rPr>
      <t>king</t>
    </r>
  </si>
  <si>
    <r>
      <rPr>
        <b/>
        <sz val="3"/>
        <rFont val="Yu Gothic UI"/>
        <family val="2"/>
      </rPr>
      <t xml:space="preserve">Bouclé (lamb  fleece)
</t>
    </r>
    <r>
      <rPr>
        <b/>
        <sz val="3"/>
        <rFont val="Yu Gothic UI"/>
        <family val="2"/>
      </rPr>
      <t xml:space="preserve">fabric + solid pine wood  beams + high- density  PU foam + steel-wood  slatted  bed
</t>
    </r>
    <r>
      <rPr>
        <b/>
        <sz val="3"/>
        <rFont val="Yu Gothic UI"/>
        <family val="2"/>
      </rPr>
      <t>base + solid wood legs</t>
    </r>
  </si>
  <si>
    <r>
      <rPr>
        <sz val="2.5"/>
        <rFont val="Microsoft YaHei"/>
        <family val="2"/>
      </rPr>
      <t>240*270*100</t>
    </r>
  </si>
  <si>
    <r>
      <rPr>
        <sz val="2.5"/>
        <rFont val="Microsoft YaHei"/>
        <family val="2"/>
      </rPr>
      <t>Headboard ：204*48*105 Bed base ：192*40*67 Slat frame ：153*203*5</t>
    </r>
  </si>
  <si>
    <r>
      <rPr>
        <sz val="2.5"/>
        <rFont val="Microsoft YaHei"/>
        <family val="2"/>
      </rPr>
      <t>Headboard ： 38 Bed base： 40 Slat frame ：23</t>
    </r>
  </si>
  <si>
    <r>
      <rPr>
        <b/>
        <sz val="4"/>
        <rFont val="Yu Gothic UI"/>
        <family val="2"/>
      </rPr>
      <t>king size: 4</t>
    </r>
  </si>
  <si>
    <r>
      <rPr>
        <b/>
        <sz val="3.5"/>
        <rFont val="Yu Gothic UI"/>
        <family val="2"/>
      </rPr>
      <t>queen</t>
    </r>
  </si>
  <si>
    <r>
      <rPr>
        <sz val="2.5"/>
        <rFont val="Microsoft YaHei"/>
        <family val="2"/>
      </rPr>
      <t>202*270*100</t>
    </r>
  </si>
  <si>
    <r>
      <rPr>
        <sz val="2.5"/>
        <rFont val="Microsoft YaHei"/>
        <family val="2"/>
      </rPr>
      <t>Headboard ：244*48*105 Bed base ：232*40*67 Slat frame ：193*203*5</t>
    </r>
  </si>
  <si>
    <r>
      <rPr>
        <sz val="2.5"/>
        <rFont val="Microsoft YaHei"/>
        <family val="2"/>
      </rPr>
      <t>Headboard ： 44 Bed base： 48 Slat frame ：27</t>
    </r>
  </si>
  <si>
    <r>
      <rPr>
        <b/>
        <sz val="4"/>
        <rFont val="Yu Gothic UI"/>
        <family val="2"/>
      </rPr>
      <t>queen size: 10</t>
    </r>
  </si>
  <si>
    <r>
      <rPr>
        <b/>
        <sz val="3"/>
        <rFont val="Yu Gothic UI"/>
        <family val="2"/>
      </rPr>
      <t>AF-CT001</t>
    </r>
  </si>
  <si>
    <r>
      <rPr>
        <b/>
        <sz val="3.5"/>
        <rFont val="Yu Gothic UI"/>
        <family val="2"/>
      </rPr>
      <t>coffee  tabel</t>
    </r>
  </si>
  <si>
    <r>
      <rPr>
        <b/>
        <sz val="3"/>
        <rFont val="Yu Gothic UI"/>
        <family val="2"/>
      </rPr>
      <t>Tempered  glass + oak wood</t>
    </r>
  </si>
  <si>
    <r>
      <rPr>
        <sz val="2.5"/>
        <rFont val="Microsoft YaHei"/>
        <family val="2"/>
      </rPr>
      <t>114*82*40</t>
    </r>
  </si>
  <si>
    <r>
      <rPr>
        <sz val="2.5"/>
        <rFont val="Microsoft YaHei"/>
        <family val="2"/>
      </rPr>
      <t>123*99*8.5</t>
    </r>
  </si>
  <si>
    <r>
      <rPr>
        <b/>
        <sz val="3"/>
        <rFont val="Yu Gothic UI"/>
        <family val="2"/>
      </rPr>
      <t>AF-CT002</t>
    </r>
  </si>
  <si>
    <r>
      <rPr>
        <b/>
        <sz val="3"/>
        <rFont val="Yu Gothic UI"/>
        <family val="2"/>
      </rPr>
      <t xml:space="preserve">Sintered  stone + high- density  board  (HDF)
</t>
    </r>
    <r>
      <rPr>
        <b/>
        <sz val="3"/>
        <rFont val="Yu Gothic UI"/>
        <family val="2"/>
      </rPr>
      <t>+ pine wood trim panel</t>
    </r>
  </si>
  <si>
    <r>
      <rPr>
        <sz val="2.5"/>
        <rFont val="Microsoft YaHei"/>
        <family val="2"/>
      </rPr>
      <t>90*90*38</t>
    </r>
  </si>
  <si>
    <r>
      <rPr>
        <sz val="2.5"/>
        <rFont val="Microsoft YaHei"/>
        <family val="2"/>
      </rPr>
      <t>93*93*46</t>
    </r>
  </si>
  <si>
    <r>
      <rPr>
        <b/>
        <sz val="3"/>
        <rFont val="Yu Gothic UI"/>
        <family val="2"/>
      </rPr>
      <t>AF-CT003</t>
    </r>
  </si>
  <si>
    <r>
      <rPr>
        <sz val="2.5"/>
        <rFont val="Microsoft YaHei"/>
        <family val="2"/>
      </rPr>
      <t>120*60*35</t>
    </r>
  </si>
  <si>
    <r>
      <rPr>
        <sz val="2.5"/>
        <rFont val="Microsoft YaHei"/>
        <family val="2"/>
      </rPr>
      <t>127*67*49</t>
    </r>
  </si>
  <si>
    <r>
      <rPr>
        <b/>
        <sz val="3"/>
        <rFont val="Yu Gothic UI"/>
        <family val="2"/>
      </rPr>
      <t>AF-DT001</t>
    </r>
  </si>
  <si>
    <r>
      <rPr>
        <b/>
        <sz val="3.5"/>
        <rFont val="Yu Gothic UI"/>
        <family val="2"/>
      </rPr>
      <t>Square -edge tabletop  + square legs</t>
    </r>
  </si>
  <si>
    <r>
      <rPr>
        <b/>
        <sz val="3"/>
        <rFont val="Yu Gothic UI"/>
        <family val="2"/>
      </rPr>
      <t>Marble</t>
    </r>
  </si>
  <si>
    <r>
      <rPr>
        <sz val="2.5"/>
        <rFont val="Microsoft YaHei"/>
        <family val="2"/>
      </rPr>
      <t>180*90*75</t>
    </r>
  </si>
  <si>
    <r>
      <rPr>
        <sz val="2.5"/>
        <rFont val="Microsoft YaHei"/>
        <family val="2"/>
      </rPr>
      <t>top:186*98*10 leg:58*58*77</t>
    </r>
  </si>
  <si>
    <r>
      <rPr>
        <sz val="2.5"/>
        <rFont val="Microsoft YaHei"/>
        <family val="2"/>
      </rPr>
      <t>top:85 leg:36</t>
    </r>
  </si>
  <si>
    <r>
      <rPr>
        <b/>
        <sz val="4"/>
        <rFont val="Yu Gothic UI"/>
        <family val="2"/>
      </rPr>
      <t xml:space="preserve">pandora140:  3
</t>
    </r>
    <r>
      <rPr>
        <b/>
        <sz val="4"/>
        <rFont val="Yu Gothic UI"/>
        <family val="2"/>
      </rPr>
      <t>white140:  4</t>
    </r>
  </si>
  <si>
    <r>
      <rPr>
        <sz val="2.5"/>
        <rFont val="Microsoft YaHei"/>
        <family val="2"/>
      </rPr>
      <t>140*80*75</t>
    </r>
  </si>
  <si>
    <r>
      <rPr>
        <sz val="2.5"/>
        <rFont val="Microsoft YaHei"/>
        <family val="2"/>
      </rPr>
      <t>top:146*88*10 leg:50*50*77</t>
    </r>
  </si>
  <si>
    <r>
      <rPr>
        <b/>
        <sz val="4"/>
        <rFont val="Yu Gothic UI"/>
        <family val="2"/>
      </rPr>
      <t xml:space="preserve">pandora180:  9
</t>
    </r>
    <r>
      <rPr>
        <b/>
        <sz val="4"/>
        <rFont val="Yu Gothic UI"/>
        <family val="2"/>
      </rPr>
      <t>white180:  10</t>
    </r>
  </si>
  <si>
    <r>
      <rPr>
        <b/>
        <sz val="3"/>
        <rFont val="Yu Gothic UI"/>
        <family val="2"/>
      </rPr>
      <t>AF-DT003</t>
    </r>
  </si>
  <si>
    <r>
      <rPr>
        <b/>
        <sz val="3"/>
        <rFont val="Yu Gothic UI"/>
        <family val="2"/>
      </rPr>
      <t>top: $260 lazy susan:$72</t>
    </r>
  </si>
  <si>
    <r>
      <rPr>
        <b/>
        <sz val="3"/>
        <rFont val="Yu Gothic UI"/>
        <family val="2"/>
      </rPr>
      <t>top: $361 lazy susan:$100</t>
    </r>
  </si>
  <si>
    <r>
      <rPr>
        <sz val="2.5"/>
        <rFont val="Microsoft YaHei"/>
        <family val="2"/>
      </rPr>
      <t>150*150*75</t>
    </r>
  </si>
  <si>
    <r>
      <rPr>
        <sz val="2.5"/>
        <rFont val="Microsoft YaHei"/>
        <family val="2"/>
      </rPr>
      <t>top: 156*156*10 lazy susan:73*64*74</t>
    </r>
  </si>
  <si>
    <r>
      <rPr>
        <sz val="2.5"/>
        <rFont val="Microsoft YaHei"/>
        <family val="2"/>
      </rPr>
      <t>top: 0.24 lazy susan:0.35</t>
    </r>
  </si>
  <si>
    <r>
      <rPr>
        <sz val="2.5"/>
        <rFont val="Microsoft YaHei"/>
        <family val="2"/>
      </rPr>
      <t>top: 117.4 lazy susan:18</t>
    </r>
  </si>
  <si>
    <r>
      <rPr>
        <b/>
        <sz val="4"/>
        <rFont val="Yu Gothic UI"/>
        <family val="2"/>
      </rPr>
      <t>150CM:  9</t>
    </r>
  </si>
  <si>
    <r>
      <rPr>
        <b/>
        <sz val="3"/>
        <rFont val="Yu Gothic UI"/>
        <family val="2"/>
      </rPr>
      <t>leg: $252</t>
    </r>
  </si>
  <si>
    <r>
      <rPr>
        <b/>
        <sz val="3"/>
        <rFont val="Yu Gothic UI"/>
        <family val="2"/>
      </rPr>
      <t>leg: $350</t>
    </r>
  </si>
  <si>
    <r>
      <rPr>
        <sz val="2.5"/>
        <rFont val="Microsoft YaHei"/>
        <family val="2"/>
      </rPr>
      <t>73*64*74</t>
    </r>
  </si>
  <si>
    <r>
      <rPr>
        <b/>
        <sz val="4"/>
        <rFont val="Yu Gothic UI"/>
        <family val="2"/>
      </rPr>
      <t>120CM:  10</t>
    </r>
  </si>
  <si>
    <r>
      <rPr>
        <b/>
        <sz val="3"/>
        <rFont val="Yu Gothic UI"/>
        <family val="2"/>
      </rPr>
      <t>AF-DC1N</t>
    </r>
  </si>
  <si>
    <r>
      <rPr>
        <b/>
        <sz val="3.5"/>
        <rFont val="Yu Gothic UI"/>
        <family val="2"/>
      </rPr>
      <t>chair</t>
    </r>
  </si>
  <si>
    <r>
      <rPr>
        <b/>
        <sz val="3"/>
        <rFont val="Yu Gothic UI"/>
        <family val="2"/>
      </rPr>
      <t>Bouclé (lamb  fleece) fabric;  rubber  wood frame  in walnut  finish</t>
    </r>
  </si>
  <si>
    <r>
      <rPr>
        <sz val="2.5"/>
        <rFont val="Microsoft YaHei"/>
        <family val="2"/>
      </rPr>
      <t>54*52*85</t>
    </r>
  </si>
  <si>
    <r>
      <rPr>
        <sz val="2.5"/>
        <rFont val="Microsoft YaHei"/>
        <family val="2"/>
      </rPr>
      <t>77*70*49</t>
    </r>
  </si>
  <si>
    <r>
      <rPr>
        <b/>
        <sz val="3"/>
        <rFont val="Yu Gothic UI"/>
        <family val="2"/>
      </rPr>
      <t>AF-TS002</t>
    </r>
  </si>
  <si>
    <r>
      <rPr>
        <b/>
        <sz val="3.5"/>
        <rFont val="Yu Gothic UI"/>
        <family val="2"/>
      </rPr>
      <t>tv stand</t>
    </r>
  </si>
  <si>
    <r>
      <rPr>
        <sz val="2.5"/>
        <rFont val="Microsoft YaHei"/>
        <family val="2"/>
      </rPr>
      <t>180*40*54</t>
    </r>
  </si>
  <si>
    <r>
      <rPr>
        <sz val="2.5"/>
        <rFont val="Microsoft YaHei"/>
        <family val="2"/>
      </rPr>
      <t>187*74*51</t>
    </r>
  </si>
  <si>
    <r>
      <rPr>
        <b/>
        <sz val="3"/>
        <rFont val="Yu Gothic UI"/>
        <family val="2"/>
      </rPr>
      <t>AF-BS01</t>
    </r>
  </si>
  <si>
    <r>
      <rPr>
        <sz val="2.5"/>
        <rFont val="Microsoft YaHei"/>
        <family val="2"/>
      </rPr>
      <t>72*57*110</t>
    </r>
  </si>
  <si>
    <r>
      <rPr>
        <b/>
        <sz val="3"/>
        <rFont val="Yu Gothic UI"/>
        <family val="2"/>
      </rPr>
      <t>AF-DC007</t>
    </r>
  </si>
  <si>
    <r>
      <rPr>
        <b/>
        <sz val="3.5"/>
        <rFont val="Yu Gothic UI"/>
        <family val="2"/>
      </rPr>
      <t>dinning  chairs</t>
    </r>
  </si>
  <si>
    <r>
      <rPr>
        <sz val="2.5"/>
        <rFont val="Microsoft YaHei"/>
        <family val="2"/>
      </rPr>
      <t>59*59*76.5</t>
    </r>
  </si>
  <si>
    <r>
      <rPr>
        <sz val="2.5"/>
        <rFont val="Microsoft YaHei"/>
        <family val="2"/>
      </rPr>
      <t>72*52*92</t>
    </r>
  </si>
  <si>
    <r>
      <rPr>
        <b/>
        <sz val="4"/>
        <rFont val="Yu Gothic UI"/>
        <family val="2"/>
      </rPr>
      <t xml:space="preserve">black: 8
</t>
    </r>
    <r>
      <rPr>
        <b/>
        <sz val="4"/>
        <rFont val="Yu Gothic UI"/>
        <family val="2"/>
      </rPr>
      <t>wood: 5</t>
    </r>
  </si>
  <si>
    <r>
      <rPr>
        <b/>
        <sz val="3"/>
        <rFont val="Yu Gothic UI"/>
        <family val="2"/>
      </rPr>
      <t>AF-DT009</t>
    </r>
  </si>
  <si>
    <r>
      <rPr>
        <b/>
        <sz val="3.5"/>
        <rFont val="Yu Gothic UI"/>
        <family val="2"/>
      </rPr>
      <t>dinning  table</t>
    </r>
  </si>
  <si>
    <r>
      <rPr>
        <b/>
        <sz val="3"/>
        <rFont val="Yu Gothic UI"/>
        <family val="2"/>
      </rPr>
      <t>180CM:$312</t>
    </r>
  </si>
  <si>
    <r>
      <rPr>
        <b/>
        <sz val="3"/>
        <rFont val="Yu Gothic UI"/>
        <family val="2"/>
      </rPr>
      <t>180CM:$434</t>
    </r>
  </si>
  <si>
    <r>
      <rPr>
        <sz val="2.5"/>
        <rFont val="Microsoft YaHei"/>
        <family val="2"/>
      </rPr>
      <t xml:space="preserve">top: 185*95*7.6 leg: 78*63*15
</t>
    </r>
    <r>
      <rPr>
        <sz val="2.5"/>
        <rFont val="Microsoft YaHei"/>
        <family val="2"/>
      </rPr>
      <t>Beam: 104.5*10.5*7.5</t>
    </r>
  </si>
  <si>
    <r>
      <rPr>
        <sz val="2.5"/>
        <rFont val="Microsoft YaHei"/>
        <family val="2"/>
      </rPr>
      <t xml:space="preserve">top: 29
</t>
    </r>
    <r>
      <rPr>
        <sz val="2.5"/>
        <rFont val="Microsoft YaHei"/>
        <family val="2"/>
      </rPr>
      <t xml:space="preserve">leg: 20.3
</t>
    </r>
    <r>
      <rPr>
        <sz val="2.5"/>
        <rFont val="Microsoft YaHei"/>
        <family val="2"/>
      </rPr>
      <t>Beam: 2.6</t>
    </r>
  </si>
  <si>
    <r>
      <rPr>
        <b/>
        <sz val="4"/>
        <rFont val="Yu Gothic UI"/>
        <family val="2"/>
      </rPr>
      <t xml:space="preserve">black180:  8
</t>
    </r>
    <r>
      <rPr>
        <b/>
        <sz val="4"/>
        <rFont val="Yu Gothic UI"/>
        <family val="2"/>
      </rPr>
      <t>wood180:  8</t>
    </r>
  </si>
  <si>
    <r>
      <rPr>
        <b/>
        <sz val="3"/>
        <rFont val="Yu Gothic UI"/>
        <family val="2"/>
      </rPr>
      <t>140CM:$264</t>
    </r>
  </si>
  <si>
    <r>
      <rPr>
        <b/>
        <sz val="3"/>
        <rFont val="Yu Gothic UI"/>
        <family val="2"/>
      </rPr>
      <t>140CM:$367</t>
    </r>
  </si>
  <si>
    <r>
      <rPr>
        <sz val="2.5"/>
        <rFont val="Microsoft YaHei"/>
        <family val="2"/>
      </rPr>
      <t xml:space="preserve">top: 155*85*7.6 leg: 78*63*15
</t>
    </r>
    <r>
      <rPr>
        <sz val="2.5"/>
        <rFont val="Microsoft YaHei"/>
        <family val="2"/>
      </rPr>
      <t>Beam: 104.5*10.5*7.5</t>
    </r>
  </si>
  <si>
    <r>
      <rPr>
        <sz val="2.5"/>
        <rFont val="Microsoft YaHei"/>
        <family val="2"/>
      </rPr>
      <t xml:space="preserve">top: 20.4
</t>
    </r>
    <r>
      <rPr>
        <sz val="2.5"/>
        <rFont val="Microsoft YaHei"/>
        <family val="2"/>
      </rPr>
      <t xml:space="preserve">leg: 20.3
</t>
    </r>
    <r>
      <rPr>
        <sz val="2.5"/>
        <rFont val="Microsoft YaHei"/>
        <family val="2"/>
      </rPr>
      <t>Beam: 2.6</t>
    </r>
  </si>
  <si>
    <r>
      <rPr>
        <b/>
        <sz val="4"/>
        <rFont val="Yu Gothic UI"/>
        <family val="2"/>
      </rPr>
      <t xml:space="preserve">black140:  4
</t>
    </r>
    <r>
      <rPr>
        <b/>
        <sz val="4"/>
        <rFont val="Yu Gothic UI"/>
        <family val="2"/>
      </rPr>
      <t>wood140:  5</t>
    </r>
  </si>
  <si>
    <r>
      <rPr>
        <b/>
        <sz val="3"/>
        <rFont val="Yu Gothic UI"/>
        <family val="2"/>
      </rPr>
      <t>AF-DC008</t>
    </r>
  </si>
  <si>
    <r>
      <rPr>
        <sz val="2.5"/>
        <rFont val="Microsoft YaHei"/>
        <family val="2"/>
      </rPr>
      <t>56*60*78</t>
    </r>
  </si>
  <si>
    <r>
      <rPr>
        <sz val="2.5"/>
        <rFont val="Microsoft YaHei"/>
        <family val="2"/>
      </rPr>
      <t>61*65*83</t>
    </r>
  </si>
  <si>
    <r>
      <rPr>
        <b/>
        <sz val="3"/>
        <rFont val="Yu Gothic UI"/>
        <family val="2"/>
      </rPr>
      <t>AF-DT002</t>
    </r>
  </si>
  <si>
    <r>
      <rPr>
        <sz val="2.5"/>
        <rFont val="Microsoft YaHei"/>
        <family val="2"/>
      </rPr>
      <t>230*100*75</t>
    </r>
  </si>
  <si>
    <r>
      <rPr>
        <sz val="2.5"/>
        <rFont val="Microsoft YaHei"/>
        <family val="2"/>
      </rPr>
      <t>table top: 235*108*9 upper frame: 234*104*11 middle column:  70*60*35 base: 135*69*11</t>
    </r>
  </si>
  <si>
    <r>
      <rPr>
        <b/>
        <sz val="3"/>
        <rFont val="Yu Gothic UI"/>
        <family val="2"/>
      </rPr>
      <t>AF-DT015</t>
    </r>
  </si>
  <si>
    <r>
      <rPr>
        <sz val="2.5"/>
        <rFont val="Microsoft YaHei"/>
        <family val="2"/>
      </rPr>
      <t>table  top:185*95*9 base:69*67*78</t>
    </r>
  </si>
  <si>
    <r>
      <rPr>
        <sz val="2.5"/>
        <rFont val="Microsoft YaHei"/>
        <family val="2"/>
      </rPr>
      <t>top: 30.55 base:24.25</t>
    </r>
  </si>
  <si>
    <r>
      <rPr>
        <b/>
        <sz val="4"/>
        <rFont val="Yu Gothic UI"/>
        <family val="2"/>
      </rPr>
      <t>180CM:  5</t>
    </r>
  </si>
  <si>
    <r>
      <rPr>
        <sz val="2.5"/>
        <rFont val="Microsoft YaHei"/>
        <family val="2"/>
      </rPr>
      <t>220*100*75</t>
    </r>
  </si>
  <si>
    <r>
      <rPr>
        <sz val="2.5"/>
        <rFont val="Microsoft YaHei"/>
        <family val="2"/>
      </rPr>
      <t>table top:225*105*9 base: 79*58*82</t>
    </r>
  </si>
  <si>
    <r>
      <rPr>
        <sz val="2.5"/>
        <rFont val="Microsoft YaHei"/>
        <family val="2"/>
      </rPr>
      <t>top: 34.76 base:27.8</t>
    </r>
  </si>
  <si>
    <r>
      <rPr>
        <b/>
        <sz val="3"/>
        <rFont val="Yu Gothic UI"/>
        <family val="2"/>
      </rPr>
      <t>AF-SF013</t>
    </r>
  </si>
  <si>
    <r>
      <rPr>
        <b/>
        <sz val="3"/>
        <rFont val="Yu Gothic UI"/>
        <family val="2"/>
      </rPr>
      <t xml:space="preserve">Linen fabric  + PU foam + down  feather
</t>
    </r>
    <r>
      <rPr>
        <b/>
        <sz val="3"/>
        <rFont val="Yu Gothic UI"/>
        <family val="2"/>
      </rPr>
      <t>+ polyester  fiberfill  + solid pine wood + plywood</t>
    </r>
  </si>
  <si>
    <r>
      <rPr>
        <b/>
        <sz val="3"/>
        <rFont val="Yu Gothic UI"/>
        <family val="2"/>
      </rPr>
      <t>Right Armrest:  $356 Left Armrest:  $356</t>
    </r>
  </si>
  <si>
    <r>
      <rPr>
        <b/>
        <sz val="3"/>
        <rFont val="Yu Gothic UI"/>
        <family val="2"/>
      </rPr>
      <t>Right Armrest:  $495 Left Armrest:  $495</t>
    </r>
  </si>
  <si>
    <r>
      <rPr>
        <sz val="2.5"/>
        <rFont val="Microsoft YaHei"/>
        <family val="2"/>
      </rPr>
      <t>100*260*68</t>
    </r>
  </si>
  <si>
    <r>
      <rPr>
        <sz val="2.5"/>
        <rFont val="Microsoft YaHei"/>
        <family val="2"/>
      </rPr>
      <t>100*100*67</t>
    </r>
  </si>
  <si>
    <r>
      <rPr>
        <b/>
        <sz val="3"/>
        <rFont val="Yu Gothic UI"/>
        <family val="2"/>
      </rPr>
      <t>AF-SF008</t>
    </r>
  </si>
  <si>
    <r>
      <rPr>
        <b/>
        <sz val="3"/>
        <rFont val="Yu Gothic UI"/>
        <family val="2"/>
      </rPr>
      <t xml:space="preserve">Bouclé (lamb  fleece)
</t>
    </r>
    <r>
      <rPr>
        <b/>
        <sz val="3"/>
        <rFont val="Yu Gothic UI"/>
        <family val="2"/>
      </rPr>
      <t>fabric  + PU foam + solid pine wood + plywood  + electroplated  stainless</t>
    </r>
  </si>
  <si>
    <r>
      <rPr>
        <sz val="2.5"/>
        <rFont val="Microsoft YaHei"/>
        <family val="2"/>
      </rPr>
      <t>297*150*76</t>
    </r>
  </si>
  <si>
    <r>
      <rPr>
        <sz val="2.5"/>
        <rFont val="Microsoft YaHei"/>
        <family val="2"/>
      </rPr>
      <t xml:space="preserve">132*107*80
</t>
    </r>
    <r>
      <rPr>
        <sz val="2.5"/>
        <rFont val="Microsoft YaHei"/>
        <family val="2"/>
      </rPr>
      <t>220*110*83</t>
    </r>
  </si>
  <si>
    <r>
      <rPr>
        <b/>
        <sz val="3"/>
        <rFont val="Yu Gothic UI"/>
        <family val="2"/>
      </rPr>
      <t>AF-SF018</t>
    </r>
  </si>
  <si>
    <r>
      <rPr>
        <b/>
        <sz val="3.5"/>
        <rFont val="Yu Gothic UI"/>
        <family val="2"/>
      </rPr>
      <t>3 seater white</t>
    </r>
  </si>
  <si>
    <r>
      <rPr>
        <b/>
        <sz val="3"/>
        <rFont val="Yu Gothic UI"/>
        <family val="2"/>
      </rPr>
      <t xml:space="preserve">Chenille  fabric + PU foam + down  feather
</t>
    </r>
    <r>
      <rPr>
        <b/>
        <sz val="3"/>
        <rFont val="Yu Gothic UI"/>
        <family val="2"/>
      </rPr>
      <t xml:space="preserve">+ polyester  fiberfill  + solid pine wood +
</t>
    </r>
    <r>
      <rPr>
        <b/>
        <sz val="3"/>
        <rFont val="Yu Gothic UI"/>
        <family val="2"/>
      </rPr>
      <t>plywood</t>
    </r>
  </si>
  <si>
    <r>
      <rPr>
        <sz val="2.5"/>
        <rFont val="Microsoft YaHei"/>
        <family val="2"/>
      </rPr>
      <t>246*90*84.5</t>
    </r>
  </si>
  <si>
    <r>
      <rPr>
        <sz val="2.5"/>
        <rFont val="Microsoft YaHei"/>
        <family val="2"/>
      </rPr>
      <t>250*100*62</t>
    </r>
  </si>
  <si>
    <r>
      <rPr>
        <b/>
        <sz val="3"/>
        <rFont val="Yu Gothic UI"/>
        <family val="2"/>
      </rPr>
      <t>AF-SF021</t>
    </r>
  </si>
  <si>
    <r>
      <rPr>
        <b/>
        <sz val="3"/>
        <rFont val="Yu Gothic UI"/>
        <family val="2"/>
      </rPr>
      <t>Velvet  fabric  + PU foam + solid pine wood</t>
    </r>
  </si>
  <si>
    <r>
      <rPr>
        <sz val="2.5"/>
        <rFont val="Microsoft YaHei"/>
        <family val="2"/>
      </rPr>
      <t>305*180*78</t>
    </r>
  </si>
  <si>
    <r>
      <rPr>
        <sz val="2.5"/>
        <rFont val="Microsoft YaHei"/>
        <family val="2"/>
      </rPr>
      <t xml:space="preserve">101*85*50
</t>
    </r>
    <r>
      <rPr>
        <sz val="2.5"/>
        <rFont val="Microsoft YaHei"/>
        <family val="2"/>
      </rPr>
      <t xml:space="preserve">101*85*50
</t>
    </r>
    <r>
      <rPr>
        <sz val="2.5"/>
        <rFont val="Microsoft YaHei"/>
        <family val="2"/>
      </rPr>
      <t>182*113*48</t>
    </r>
  </si>
  <si>
    <r>
      <rPr>
        <sz val="2.5"/>
        <rFont val="Microsoft YaHei"/>
        <family val="2"/>
      </rPr>
      <t xml:space="preserve">42
</t>
    </r>
    <r>
      <rPr>
        <sz val="2.5"/>
        <rFont val="Microsoft YaHei"/>
        <family val="2"/>
      </rPr>
      <t xml:space="preserve">38.5
</t>
    </r>
    <r>
      <rPr>
        <sz val="2.5"/>
        <rFont val="Microsoft YaHei"/>
        <family val="2"/>
      </rPr>
      <t>68.75</t>
    </r>
  </si>
  <si>
    <t>Cost</t>
  </si>
  <si>
    <t>Sale Price</t>
  </si>
  <si>
    <t>115*95*65</t>
  </si>
  <si>
    <t>230*95*65</t>
  </si>
  <si>
    <t>105*110*93</t>
  </si>
  <si>
    <t xml:space="preserve">left/right:  $164 </t>
  </si>
  <si>
    <t xml:space="preserve">armless:  $155 </t>
  </si>
  <si>
    <t>ottoman:  133</t>
  </si>
  <si>
    <t xml:space="preserve">left/right:  $228 </t>
  </si>
  <si>
    <t xml:space="preserve">armless:  $215 </t>
  </si>
  <si>
    <t>ottoman:  $185</t>
  </si>
  <si>
    <t xml:space="preserve">Left/riget:  $215 </t>
  </si>
  <si>
    <t xml:space="preserve">armless:  $203 </t>
  </si>
  <si>
    <t>ottoman:  $179</t>
  </si>
  <si>
    <t xml:space="preserve">Left/riget:  $299 </t>
  </si>
  <si>
    <t xml:space="preserve">armless:  $282 </t>
  </si>
  <si>
    <t>ottoman:  $249</t>
  </si>
  <si>
    <t>Website link for photos and config and description</t>
  </si>
  <si>
    <t>https://cozhaven.com/products/snugglesoft-couch-single-seat?_pos=3&amp;_psq=snug&amp;_ss=e&amp;_v=1.0</t>
  </si>
  <si>
    <t xml:space="preserve">Comments </t>
  </si>
  <si>
    <t>https://atunushome.com/product/linen-cloud-sofa-96-inch-corner-sectionals-4-seaters-sky-slope-52653/?variant=52654</t>
  </si>
  <si>
    <t>https://atunushome.com/product/cloud-modular-sofa-7-seat-chaise-corner-sectional/?variant=27478</t>
  </si>
  <si>
    <t>https://atunushome.com/product/softspot-modular-sofa-three-seats/?variant=26680</t>
  </si>
  <si>
    <t>https://atunushome.com/product/softspot-modular-sofa-three-seats-with-1-ottoman/?variant=17049</t>
  </si>
  <si>
    <t>https://atunushome.com/product/linen-sectional-sofa-sleepers-3-seaters-sky-14780/</t>
  </si>
  <si>
    <t>https://atunushome.com/product/sogno-sofa-3-seat-l-shaped/?variant=32256</t>
  </si>
  <si>
    <t>https://atunushome.com/product/corduroy-modular-sofa-l-shaped-sectionals-4-seaters-pixel-24282/?variant=27812</t>
  </si>
  <si>
    <t>https://atunushome.com/product/velvet-modular-sofa-u-shaped-sectionals-6-seaters-urban-14820/?variant=14821</t>
  </si>
  <si>
    <t>https://atunushome.com/product/bubble-curve-boneless-sherpa-fleece-sofa-comfy-loveseat-couch-deep-seat-lounge-sofa/?variant=63138</t>
  </si>
  <si>
    <t>Bubble couch</t>
  </si>
  <si>
    <t>1 seater</t>
  </si>
  <si>
    <t>2 seater</t>
  </si>
  <si>
    <t>3 seater</t>
  </si>
  <si>
    <t>Ottoman</t>
  </si>
  <si>
    <t>Orange, Green, light grey</t>
  </si>
  <si>
    <t>https://atunushome.com/product/3d-knitted-modular-sofa-single-sofa-1-seaters-bubble-44620/?variant=55291</t>
  </si>
  <si>
    <t>https://atunushome.com/product/3d-knitted-modular-sofa-ottomans-1-seaters-bubble-44698/?variant=55295</t>
  </si>
  <si>
    <t>https://atunushome.com/product/3d-knitted-modular-sofa-loveseats-2-seaters-bubble-44654/?variant=55297</t>
  </si>
  <si>
    <t>https://atunushome.com/product/3d-knitted-modular-sofa-sleepers-3-seaters-bubble-57780/?variant=57809</t>
  </si>
  <si>
    <t>https://atunushome.com/product/3d-knitted-modular-sofa-loveseats-2-seaters-bubble-46588/?variant=46593</t>
  </si>
  <si>
    <t>https://atunushome.com/product/teddy-velvet-lazy-sofa-72-inch-corner-sectionals-3-seaters-caterpillar-15746/?variant=15752</t>
  </si>
  <si>
    <t>https://atunusfurniture.com/product/l-shaped-sectional-sofa-beige-cloud-sofa-fixed-chaise-lounge-oversized-deep-seat-couch/</t>
  </si>
  <si>
    <t>https://atunusfurniture.com/product/minimalist-modern-sherpa-sectional-loveseat/</t>
  </si>
  <si>
    <t>https://atunusfurniture.com/product/contemporary-curved-couch-in-sherpa-cover/</t>
  </si>
  <si>
    <t>https://atunusfurniture.com/product/modern-modular-sectional-sofa-beige-fabric-freely-assemblable-for-living-room-leisure-area/</t>
  </si>
  <si>
    <t>https://atunusfurniture.com/product/modern-minimalist-dining-table-with-tapered-walnut-base/</t>
  </si>
  <si>
    <t>https://atunusfurniture.com/product/modern-sintered-marble-dining-table-u-shape-stainless-steel-base-for-dining-room/</t>
  </si>
  <si>
    <t>https://atunusfurniture.com/product/rotatable-upholstered-dining-chair-beige-modern-accent-chair-with-flared-pedestal-base/</t>
  </si>
  <si>
    <t>https://atunusfurniture.com/product/black-ellipsoid-solid-plywood-dining-table-with-ash-wood-finish/</t>
  </si>
  <si>
    <t>https://atunusfurniture.com/product/modern-light-luxury-teddy-fabric-dining-chair/</t>
  </si>
  <si>
    <t>https://atunusfurniture.com/product/modern-luxury-solid-wood-bar-stool/</t>
  </si>
  <si>
    <t>https://atunusfurniture.com/product/mid-century-slatted-wood-tv-stand/</t>
  </si>
  <si>
    <t>https://atunusfurniture.com/product/fleece-upholsteted-ash-woord-dining-chait/</t>
  </si>
  <si>
    <t>https://atunusfurniture.com/product/modern-round-marbledining-table-with-turntable-painted-iron-leg-for-dining-room/</t>
  </si>
  <si>
    <t>https://atunusfurniture.com/product/modern-marble-dining-table-rectangular-center-tables-with-sintered-stone-top-for-home-living-room/</t>
  </si>
  <si>
    <t>https://atunusfurniture.com/product/modern-rectangular-sintered-stone-coffee-table/</t>
  </si>
  <si>
    <t>https://atunusfurniture.com/product/scandi-round-sintered-stone-coffee-table/</t>
  </si>
  <si>
    <t>https://atunusfurniture.com/product/modern-oak-glass-coffee-table/</t>
  </si>
  <si>
    <t>https://cozhaven.com/products/mara-3d-bubble-bed?_pos=1&amp;_psq=bubble&amp;_ss=e&amp;_v=1.0</t>
  </si>
  <si>
    <t>https://atunusfurniture.com/product/leisure-lounge-chair-corduroy-fabric-solid-wood-frame-for-living-room-corner-bedroom-rest-area/</t>
  </si>
  <si>
    <t>https://atunusfurniture.com/product/modern-armless-single-sofa-round-seat/</t>
  </si>
  <si>
    <t>https://atunusfurniture.com/product/modern-enveloping-single-sofa-chair-cream-white-velvet-light-luxury-design-for-living-room-leisure-area/</t>
  </si>
  <si>
    <t>https://atunusfurniture.com/product/modern-cashew-shaped-sofa-cream-white-fabric-artistic-shape-for-living-room-leisure-area/</t>
  </si>
  <si>
    <t>https://atunusfurniture.com/product/modern-classic-leather-lounge-chair-with-ottoman/</t>
  </si>
  <si>
    <t>https://atunusfurniture.com/product/unique-modern-stripe-accent-chair-sofa-with-ottoman/</t>
  </si>
  <si>
    <t>multiple configuration possible as its modular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</si>
</sst>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00"/>
    <numFmt numFmtId="166" formatCode="\$0"/>
    <numFmt numFmtId="167" formatCode="\$#,##0"/>
    <numFmt numFmtId="168" formatCode="_-* #,##0_-;\-* #,##0_-;_-* &quot;-&quot;??_-;_-@_-"/>
  </numFmts>
  <fonts count="21" x14ac:knownFonts="1">
    <font>
      <sz val="10"/>
      <color rgb="FF000000"/>
      <name val="Times New Roman"/>
      <charset val="204"/>
    </font>
    <font>
      <b/>
      <sz val="3.5"/>
      <name val="Yu Gothic UI"/>
    </font>
    <font>
      <b/>
      <sz val="3"/>
      <name val="Yu Gothic UI"/>
    </font>
    <font>
      <sz val="2.5"/>
      <name val="Microsoft YaHei"/>
    </font>
    <font>
      <sz val="2.5"/>
      <color rgb="FF000000"/>
      <name val="Microsoft YaHei"/>
      <family val="2"/>
    </font>
    <font>
      <b/>
      <sz val="4"/>
      <name val="Yu Gothic UI"/>
    </font>
    <font>
      <b/>
      <sz val="4"/>
      <color rgb="FF000000"/>
      <name val="Yu Gothic UI"/>
      <family val="2"/>
    </font>
    <font>
      <sz val="2"/>
      <color rgb="FF000000"/>
      <name val="Microsoft YaHei"/>
      <family val="2"/>
    </font>
    <font>
      <b/>
      <sz val="3"/>
      <color rgb="FF000000"/>
      <name val="Yu Gothic UI"/>
      <family val="2"/>
    </font>
    <font>
      <b/>
      <sz val="2.5"/>
      <color rgb="FF000000"/>
      <name val="Yu Gothic UI"/>
      <family val="2"/>
    </font>
    <font>
      <b/>
      <sz val="2.5"/>
      <name val="Yu Gothic UI"/>
    </font>
    <font>
      <b/>
      <sz val="3.5"/>
      <name val="Yu Gothic UI"/>
      <family val="2"/>
    </font>
    <font>
      <b/>
      <sz val="3"/>
      <name val="Yu Gothic UI"/>
      <family val="2"/>
    </font>
    <font>
      <sz val="2.5"/>
      <name val="Microsoft YaHei"/>
      <family val="2"/>
    </font>
    <font>
      <b/>
      <sz val="4"/>
      <name val="Yu Gothic UI"/>
      <family val="2"/>
    </font>
    <font>
      <b/>
      <sz val="2.5"/>
      <name val="Yu Gothic UI"/>
      <family val="2"/>
    </font>
    <font>
      <sz val="10"/>
      <color rgb="FF000000"/>
      <name val="Times New Roman"/>
      <charset val="204"/>
    </font>
    <font>
      <u/>
      <sz val="10"/>
      <color theme="10"/>
      <name val="Times New Roman"/>
      <charset val="204"/>
    </font>
    <font>
      <u/>
      <sz val="3"/>
      <color theme="10"/>
      <name val="Times New Roman"/>
      <family val="1"/>
    </font>
    <font>
      <u/>
      <sz val="30"/>
      <color theme="10"/>
      <name val="Times New Roman"/>
      <family val="1"/>
    </font>
    <font>
      <sz val="3"/>
      <color theme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C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24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0" fillId="2" borderId="4" xfId="0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3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2" fontId="4" fillId="0" borderId="3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center" vertical="top" shrinkToFit="1"/>
    </xf>
    <xf numFmtId="0" fontId="2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shrinkToFit="1"/>
    </xf>
    <xf numFmtId="2" fontId="4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shrinkToFit="1"/>
    </xf>
    <xf numFmtId="166" fontId="9" fillId="2" borderId="1" xfId="0" applyNumberFormat="1" applyFont="1" applyFill="1" applyBorder="1" applyAlignment="1">
      <alignment horizontal="center" shrinkToFit="1"/>
    </xf>
    <xf numFmtId="167" fontId="8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 indent="1"/>
    </xf>
    <xf numFmtId="1" fontId="6" fillId="0" borderId="1" xfId="0" applyNumberFormat="1" applyFont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center" shrinkToFit="1"/>
    </xf>
    <xf numFmtId="165" fontId="4" fillId="0" borderId="1" xfId="0" applyNumberFormat="1" applyFont="1" applyBorder="1" applyAlignment="1">
      <alignment horizontal="center" shrinkToFi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wrapText="1"/>
    </xf>
    <xf numFmtId="166" fontId="9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center" shrinkToFit="1"/>
    </xf>
    <xf numFmtId="166" fontId="9" fillId="2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166" fontId="9" fillId="0" borderId="1" xfId="0" applyNumberFormat="1" applyFont="1" applyBorder="1" applyAlignment="1">
      <alignment horizontal="center" shrinkToFit="1"/>
    </xf>
    <xf numFmtId="166" fontId="8" fillId="0" borderId="1" xfId="0" applyNumberFormat="1" applyFont="1" applyBorder="1" applyAlignment="1">
      <alignment horizontal="center" vertical="center" shrinkToFit="1"/>
    </xf>
    <xf numFmtId="166" fontId="9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top" wrapText="1"/>
    </xf>
    <xf numFmtId="166" fontId="9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/>
    </xf>
    <xf numFmtId="167" fontId="8" fillId="0" borderId="1" xfId="0" applyNumberFormat="1" applyFont="1" applyBorder="1" applyAlignment="1">
      <alignment horizontal="center" vertical="center" shrinkToFit="1"/>
    </xf>
    <xf numFmtId="0" fontId="0" fillId="4" borderId="0" xfId="0" applyFill="1" applyAlignment="1">
      <alignment horizontal="left" vertical="top"/>
    </xf>
    <xf numFmtId="0" fontId="1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66" fontId="9" fillId="4" borderId="1" xfId="0" applyNumberFormat="1" applyFont="1" applyFill="1" applyBorder="1" applyAlignment="1">
      <alignment horizontal="center" shrinkToFit="1"/>
    </xf>
    <xf numFmtId="167" fontId="9" fillId="4" borderId="1" xfId="0" applyNumberFormat="1" applyFont="1" applyFill="1" applyBorder="1" applyAlignment="1">
      <alignment horizontal="center" shrinkToFit="1"/>
    </xf>
    <xf numFmtId="0" fontId="0" fillId="4" borderId="1" xfId="0" applyFill="1" applyBorder="1" applyAlignment="1">
      <alignment horizontal="left" vertical="top" wrapText="1"/>
    </xf>
    <xf numFmtId="166" fontId="8" fillId="4" borderId="1" xfId="0" applyNumberFormat="1" applyFont="1" applyFill="1" applyBorder="1" applyAlignment="1">
      <alignment horizontal="center" vertical="center" shrinkToFit="1"/>
    </xf>
    <xf numFmtId="167" fontId="9" fillId="4" borderId="1" xfId="0" applyNumberFormat="1" applyFont="1" applyFill="1" applyBorder="1" applyAlignment="1">
      <alignment horizontal="center" vertical="center" shrinkToFit="1"/>
    </xf>
    <xf numFmtId="166" fontId="9" fillId="4" borderId="1" xfId="0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left" vertical="center" wrapText="1"/>
    </xf>
    <xf numFmtId="167" fontId="8" fillId="4" borderId="1" xfId="0" applyNumberFormat="1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left" vertical="center" wrapText="1" indent="1"/>
    </xf>
    <xf numFmtId="168" fontId="2" fillId="4" borderId="2" xfId="1" applyNumberFormat="1" applyFont="1" applyFill="1" applyBorder="1" applyAlignment="1">
      <alignment horizontal="center" vertical="center" wrapText="1"/>
    </xf>
    <xf numFmtId="168" fontId="2" fillId="4" borderId="1" xfId="1" applyNumberFormat="1" applyFont="1" applyFill="1" applyBorder="1" applyAlignment="1">
      <alignment horizontal="center" vertical="center" wrapText="1"/>
    </xf>
    <xf numFmtId="168" fontId="9" fillId="4" borderId="1" xfId="1" applyNumberFormat="1" applyFont="1" applyFill="1" applyBorder="1" applyAlignment="1">
      <alignment horizontal="center" vertical="center" shrinkToFit="1"/>
    </xf>
    <xf numFmtId="168" fontId="2" fillId="4" borderId="4" xfId="1" applyNumberFormat="1" applyFont="1" applyFill="1" applyBorder="1" applyAlignment="1">
      <alignment horizontal="center" vertical="center" wrapText="1"/>
    </xf>
    <xf numFmtId="168" fontId="0" fillId="4" borderId="1" xfId="1" applyNumberFormat="1" applyFont="1" applyFill="1" applyBorder="1" applyAlignment="1">
      <alignment horizontal="center" vertical="center" wrapText="1"/>
    </xf>
    <xf numFmtId="168" fontId="0" fillId="4" borderId="4" xfId="1" applyNumberFormat="1" applyFont="1" applyFill="1" applyBorder="1" applyAlignment="1">
      <alignment horizontal="center" vertical="center" wrapText="1"/>
    </xf>
    <xf numFmtId="168" fontId="0" fillId="4" borderId="2" xfId="1" applyNumberFormat="1" applyFont="1" applyFill="1" applyBorder="1" applyAlignment="1">
      <alignment horizontal="center" vertical="center" wrapText="1"/>
    </xf>
    <xf numFmtId="168" fontId="0" fillId="4" borderId="0" xfId="1" applyNumberFormat="1" applyFont="1" applyFill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shrinkToFit="1"/>
    </xf>
    <xf numFmtId="164" fontId="4" fillId="4" borderId="2" xfId="0" applyNumberFormat="1" applyFont="1" applyFill="1" applyBorder="1" applyAlignment="1">
      <alignment horizontal="center" vertical="center" shrinkToFit="1"/>
    </xf>
    <xf numFmtId="0" fontId="0" fillId="4" borderId="3" xfId="0" applyFill="1" applyBorder="1" applyAlignment="1">
      <alignment horizontal="left" wrapText="1"/>
    </xf>
    <xf numFmtId="0" fontId="1" fillId="4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2" fontId="4" fillId="4" borderId="3" xfId="0" applyNumberFormat="1" applyFont="1" applyFill="1" applyBorder="1" applyAlignment="1">
      <alignment horizontal="center" vertical="top" shrinkToFit="1"/>
    </xf>
    <xf numFmtId="1" fontId="4" fillId="4" borderId="3" xfId="0" applyNumberFormat="1" applyFont="1" applyFill="1" applyBorder="1" applyAlignment="1">
      <alignment horizontal="center" vertical="top" shrinkToFit="1"/>
    </xf>
    <xf numFmtId="0" fontId="0" fillId="4" borderId="4" xfId="0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shrinkToFit="1"/>
    </xf>
    <xf numFmtId="164" fontId="4" fillId="4" borderId="1" xfId="0" applyNumberFormat="1" applyFont="1" applyFill="1" applyBorder="1" applyAlignment="1">
      <alignment horizontal="center" vertical="center" shrinkToFit="1"/>
    </xf>
    <xf numFmtId="0" fontId="5" fillId="4" borderId="9" xfId="0" applyFont="1" applyFill="1" applyBorder="1" applyAlignment="1">
      <alignment horizontal="center" vertical="top" wrapText="1"/>
    </xf>
    <xf numFmtId="168" fontId="3" fillId="0" borderId="1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top" wrapText="1"/>
    </xf>
    <xf numFmtId="165" fontId="4" fillId="4" borderId="1" xfId="0" applyNumberFormat="1" applyFont="1" applyFill="1" applyBorder="1" applyAlignment="1">
      <alignment horizontal="center" vertical="center" shrinkToFit="1"/>
    </xf>
    <xf numFmtId="168" fontId="0" fillId="4" borderId="0" xfId="0" applyNumberFormat="1" applyFill="1" applyAlignment="1">
      <alignment horizontal="left" vertical="top"/>
    </xf>
    <xf numFmtId="165" fontId="7" fillId="4" borderId="1" xfId="0" applyNumberFormat="1" applyFont="1" applyFill="1" applyBorder="1" applyAlignment="1">
      <alignment horizontal="center" shrinkToFit="1"/>
    </xf>
    <xf numFmtId="164" fontId="7" fillId="4" borderId="1" xfId="0" applyNumberFormat="1" applyFont="1" applyFill="1" applyBorder="1" applyAlignment="1">
      <alignment horizontal="center" shrinkToFit="1"/>
    </xf>
    <xf numFmtId="1" fontId="7" fillId="4" borderId="1" xfId="0" applyNumberFormat="1" applyFont="1" applyFill="1" applyBorder="1" applyAlignment="1">
      <alignment horizontal="center" shrinkToFit="1"/>
    </xf>
    <xf numFmtId="0" fontId="3" fillId="4" borderId="1" xfId="0" applyFont="1" applyFill="1" applyBorder="1" applyAlignment="1">
      <alignment horizontal="center" wrapText="1"/>
    </xf>
    <xf numFmtId="2" fontId="4" fillId="4" borderId="1" xfId="0" applyNumberFormat="1" applyFont="1" applyFill="1" applyBorder="1" applyAlignment="1">
      <alignment horizontal="center" shrinkToFit="1"/>
    </xf>
    <xf numFmtId="1" fontId="4" fillId="4" borderId="1" xfId="0" applyNumberFormat="1" applyFont="1" applyFill="1" applyBorder="1" applyAlignment="1">
      <alignment horizontal="center" shrinkToFit="1"/>
    </xf>
    <xf numFmtId="0" fontId="0" fillId="4" borderId="1" xfId="0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shrinkToFit="1"/>
    </xf>
    <xf numFmtId="0" fontId="3" fillId="4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1"/>
    </xf>
    <xf numFmtId="165" fontId="4" fillId="4" borderId="1" xfId="0" applyNumberFormat="1" applyFont="1" applyFill="1" applyBorder="1" applyAlignment="1">
      <alignment horizontal="center" shrinkToFit="1"/>
    </xf>
    <xf numFmtId="0" fontId="10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vertical="center" wrapText="1" indent="1"/>
    </xf>
    <xf numFmtId="43" fontId="0" fillId="4" borderId="0" xfId="0" applyNumberFormat="1" applyFill="1" applyAlignment="1">
      <alignment horizontal="left" vertical="top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horizontal="center" vertical="top" wrapText="1"/>
    </xf>
    <xf numFmtId="1" fontId="6" fillId="4" borderId="10" xfId="0" applyNumberFormat="1" applyFont="1" applyFill="1" applyBorder="1" applyAlignment="1">
      <alignment horizontal="center" vertical="top" shrinkToFit="1"/>
    </xf>
    <xf numFmtId="1" fontId="6" fillId="4" borderId="12" xfId="0" applyNumberFormat="1" applyFont="1" applyFill="1" applyBorder="1" applyAlignment="1">
      <alignment horizontal="center" vertical="top" shrinkToFit="1"/>
    </xf>
    <xf numFmtId="1" fontId="6" fillId="4" borderId="11" xfId="0" applyNumberFormat="1" applyFont="1" applyFill="1" applyBorder="1" applyAlignment="1">
      <alignment horizontal="center" vertical="top" shrinkToFi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5" xfId="0" applyFont="1" applyBorder="1" applyAlignment="1">
      <alignment horizontal="left" vertical="top" wrapText="1" indent="5"/>
    </xf>
    <xf numFmtId="0" fontId="5" fillId="0" borderId="9" xfId="0" applyFont="1" applyBorder="1" applyAlignment="1">
      <alignment horizontal="left" vertical="top" wrapText="1" indent="5"/>
    </xf>
    <xf numFmtId="0" fontId="5" fillId="0" borderId="6" xfId="0" applyFont="1" applyBorder="1" applyAlignment="1">
      <alignment horizontal="left" vertical="top" wrapText="1" indent="5"/>
    </xf>
    <xf numFmtId="0" fontId="5" fillId="0" borderId="10" xfId="0" applyFont="1" applyBorder="1" applyAlignment="1">
      <alignment horizontal="left" vertical="top" wrapText="1" indent="5"/>
    </xf>
    <xf numFmtId="0" fontId="5" fillId="0" borderId="7" xfId="0" applyFont="1" applyBorder="1" applyAlignment="1">
      <alignment horizontal="left" vertical="top" wrapText="1" indent="5"/>
    </xf>
    <xf numFmtId="0" fontId="5" fillId="0" borderId="12" xfId="0" applyFont="1" applyBorder="1" applyAlignment="1">
      <alignment horizontal="left" vertical="top" wrapText="1" indent="5"/>
    </xf>
    <xf numFmtId="0" fontId="5" fillId="0" borderId="8" xfId="0" applyFont="1" applyBorder="1" applyAlignment="1">
      <alignment horizontal="left" vertical="top" wrapText="1" indent="5"/>
    </xf>
    <xf numFmtId="0" fontId="5" fillId="0" borderId="11" xfId="0" applyFont="1" applyBorder="1" applyAlignment="1">
      <alignment horizontal="left" vertical="top" wrapText="1" indent="5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center" wrapText="1" indent="1"/>
    </xf>
    <xf numFmtId="0" fontId="1" fillId="4" borderId="3" xfId="0" applyFont="1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wrapText="1" indent="1"/>
    </xf>
    <xf numFmtId="0" fontId="2" fillId="4" borderId="3" xfId="0" applyFont="1" applyFill="1" applyBorder="1" applyAlignment="1">
      <alignment horizontal="left" wrapText="1" indent="1"/>
    </xf>
    <xf numFmtId="0" fontId="2" fillId="4" borderId="4" xfId="0" applyFont="1" applyFill="1" applyBorder="1" applyAlignment="1">
      <alignment horizontal="left" wrapText="1" inden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  <xf numFmtId="0" fontId="1" fillId="4" borderId="2" xfId="0" applyFont="1" applyFill="1" applyBorder="1" applyAlignment="1">
      <alignment horizontal="left" vertical="center" wrapText="1" indent="1"/>
    </xf>
    <xf numFmtId="0" fontId="1" fillId="4" borderId="3" xfId="0" applyFont="1" applyFill="1" applyBorder="1" applyAlignment="1">
      <alignment horizontal="left" vertical="center" wrapText="1" indent="1"/>
    </xf>
    <xf numFmtId="0" fontId="1" fillId="4" borderId="4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 indent="1"/>
    </xf>
    <xf numFmtId="0" fontId="3" fillId="0" borderId="4" xfId="0" applyFont="1" applyBorder="1" applyAlignment="1">
      <alignment horizontal="left" wrapText="1" indent="1"/>
    </xf>
    <xf numFmtId="168" fontId="9" fillId="4" borderId="2" xfId="1" applyNumberFormat="1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wrapText="1"/>
    </xf>
    <xf numFmtId="0" fontId="0" fillId="6" borderId="0" xfId="0" applyFill="1" applyAlignment="1">
      <alignment horizontal="left" vertical="top"/>
    </xf>
    <xf numFmtId="168" fontId="18" fillId="4" borderId="2" xfId="2" applyNumberFormat="1" applyFont="1" applyFill="1" applyBorder="1" applyAlignment="1">
      <alignment horizontal="left" vertical="top" wrapText="1"/>
    </xf>
    <xf numFmtId="168" fontId="18" fillId="4" borderId="3" xfId="2" applyNumberFormat="1" applyFont="1" applyFill="1" applyBorder="1" applyAlignment="1">
      <alignment horizontal="left" vertical="top" wrapText="1"/>
    </xf>
    <xf numFmtId="168" fontId="18" fillId="4" borderId="4" xfId="2" applyNumberFormat="1" applyFont="1" applyFill="1" applyBorder="1" applyAlignment="1">
      <alignment horizontal="left" vertical="top" wrapText="1"/>
    </xf>
    <xf numFmtId="168" fontId="18" fillId="4" borderId="2" xfId="2" applyNumberFormat="1" applyFont="1" applyFill="1" applyBorder="1" applyAlignment="1">
      <alignment horizontal="center" vertical="center" wrapText="1"/>
    </xf>
    <xf numFmtId="168" fontId="18" fillId="4" borderId="3" xfId="2" applyNumberFormat="1" applyFont="1" applyFill="1" applyBorder="1" applyAlignment="1">
      <alignment horizontal="center" vertical="center" wrapText="1"/>
    </xf>
    <xf numFmtId="168" fontId="18" fillId="4" borderId="4" xfId="2" applyNumberFormat="1" applyFont="1" applyFill="1" applyBorder="1" applyAlignment="1">
      <alignment horizontal="center" vertical="center" wrapText="1"/>
    </xf>
    <xf numFmtId="168" fontId="18" fillId="4" borderId="2" xfId="2" applyNumberFormat="1" applyFont="1" applyFill="1" applyBorder="1" applyAlignment="1">
      <alignment horizontal="left" vertical="top" wrapText="1"/>
    </xf>
    <xf numFmtId="168" fontId="18" fillId="4" borderId="3" xfId="2" applyNumberFormat="1" applyFont="1" applyFill="1" applyBorder="1" applyAlignment="1">
      <alignment horizontal="left" vertical="top" wrapText="1"/>
    </xf>
    <xf numFmtId="168" fontId="18" fillId="4" borderId="4" xfId="2" applyNumberFormat="1" applyFont="1" applyFill="1" applyBorder="1" applyAlignment="1">
      <alignment horizontal="left" vertical="top" wrapText="1"/>
    </xf>
    <xf numFmtId="168" fontId="18" fillId="4" borderId="2" xfId="2" applyNumberFormat="1" applyFont="1" applyFill="1" applyBorder="1" applyAlignment="1">
      <alignment horizontal="center" vertical="center" wrapText="1"/>
    </xf>
    <xf numFmtId="168" fontId="18" fillId="4" borderId="3" xfId="2" applyNumberFormat="1" applyFont="1" applyFill="1" applyBorder="1" applyAlignment="1">
      <alignment horizontal="center" vertical="center" wrapText="1"/>
    </xf>
    <xf numFmtId="168" fontId="18" fillId="4" borderId="4" xfId="2" applyNumberFormat="1" applyFont="1" applyFill="1" applyBorder="1" applyAlignment="1">
      <alignment horizontal="center" vertical="center" wrapText="1"/>
    </xf>
    <xf numFmtId="168" fontId="11" fillId="6" borderId="1" xfId="1" applyNumberFormat="1" applyFont="1" applyFill="1" applyBorder="1" applyAlignment="1">
      <alignment horizontal="center" vertical="center" wrapText="1"/>
    </xf>
    <xf numFmtId="168" fontId="1" fillId="5" borderId="1" xfId="1" applyNumberFormat="1" applyFont="1" applyFill="1" applyBorder="1" applyAlignment="1">
      <alignment horizontal="center" vertical="center" wrapText="1"/>
    </xf>
    <xf numFmtId="168" fontId="17" fillId="4" borderId="1" xfId="2" applyNumberForma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168" fontId="18" fillId="4" borderId="2" xfId="2" applyNumberFormat="1" applyFont="1" applyFill="1" applyBorder="1" applyAlignment="1">
      <alignment vertical="center" wrapText="1"/>
    </xf>
    <xf numFmtId="168" fontId="18" fillId="4" borderId="3" xfId="2" applyNumberFormat="1" applyFont="1" applyFill="1" applyBorder="1" applyAlignment="1">
      <alignment vertical="center" wrapText="1"/>
    </xf>
    <xf numFmtId="168" fontId="18" fillId="4" borderId="4" xfId="2" applyNumberFormat="1" applyFont="1" applyFill="1" applyBorder="1" applyAlignment="1">
      <alignment vertical="center" wrapText="1"/>
    </xf>
    <xf numFmtId="168" fontId="18" fillId="4" borderId="1" xfId="2" applyNumberFormat="1" applyFont="1" applyFill="1" applyBorder="1" applyAlignment="1">
      <alignment horizontal="center" vertical="center" wrapText="1"/>
    </xf>
    <xf numFmtId="168" fontId="17" fillId="4" borderId="1" xfId="2" applyNumberFormat="1" applyFill="1" applyBorder="1" applyAlignment="1">
      <alignment horizontal="center" vertical="center" shrinkToFit="1"/>
    </xf>
    <xf numFmtId="168" fontId="19" fillId="4" borderId="1" xfId="2" applyNumberFormat="1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top" wrapText="1"/>
    </xf>
    <xf numFmtId="0" fontId="12" fillId="4" borderId="3" xfId="0" applyFont="1" applyFill="1" applyBorder="1" applyAlignment="1">
      <alignment horizontal="center" vertical="top" wrapText="1"/>
    </xf>
    <xf numFmtId="0" fontId="12" fillId="4" borderId="4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center" wrapText="1"/>
    </xf>
    <xf numFmtId="168" fontId="17" fillId="4" borderId="2" xfId="2" applyNumberFormat="1" applyFill="1" applyBorder="1" applyAlignment="1">
      <alignment horizontal="center" vertical="center" shrinkToFit="1"/>
    </xf>
    <xf numFmtId="168" fontId="20" fillId="4" borderId="2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</xdr:colOff>
      <xdr:row>1</xdr:row>
      <xdr:rowOff>9144</xdr:rowOff>
    </xdr:from>
    <xdr:ext cx="413003" cy="5440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544068"/>
        </a:xfrm>
        <a:prstGeom prst="rect">
          <a:avLst/>
        </a:prstGeom>
      </xdr:spPr>
    </xdr:pic>
    <xdr:clientData/>
  </xdr:oneCellAnchor>
  <xdr:absoluteAnchor>
    <xdr:pos x="6051945" y="329918"/>
    <xdr:ext cx="406908" cy="149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1945" y="329918"/>
          <a:ext cx="406908" cy="149351"/>
        </a:xfrm>
        <a:prstGeom prst="rect">
          <a:avLst/>
        </a:prstGeom>
      </xdr:spPr>
    </xdr:pic>
    <xdr:clientData/>
  </xdr:absoluteAnchor>
  <xdr:oneCellAnchor>
    <xdr:from>
      <xdr:col>1</xdr:col>
      <xdr:colOff>2286</xdr:colOff>
      <xdr:row>7</xdr:row>
      <xdr:rowOff>71627</xdr:rowOff>
    </xdr:from>
    <xdr:ext cx="413003" cy="4191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419100"/>
        </a:xfrm>
        <a:prstGeom prst="rect">
          <a:avLst/>
        </a:prstGeom>
      </xdr:spPr>
    </xdr:pic>
    <xdr:clientData/>
  </xdr:oneCellAnchor>
  <xdr:oneCellAnchor>
    <xdr:from>
      <xdr:col>14</xdr:col>
      <xdr:colOff>125729</xdr:colOff>
      <xdr:row>7</xdr:row>
      <xdr:rowOff>12191</xdr:rowOff>
    </xdr:from>
    <xdr:ext cx="169163" cy="158496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163" cy="158496"/>
        </a:xfrm>
        <a:prstGeom prst="rect">
          <a:avLst/>
        </a:prstGeom>
      </xdr:spPr>
    </xdr:pic>
    <xdr:clientData/>
  </xdr:oneCellAnchor>
  <xdr:oneCellAnchor>
    <xdr:from>
      <xdr:col>14</xdr:col>
      <xdr:colOff>130302</xdr:colOff>
      <xdr:row>8</xdr:row>
      <xdr:rowOff>12191</xdr:rowOff>
    </xdr:from>
    <xdr:ext cx="158496" cy="158496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496" cy="158496"/>
        </a:xfrm>
        <a:prstGeom prst="rect">
          <a:avLst/>
        </a:prstGeom>
      </xdr:spPr>
    </xdr:pic>
    <xdr:clientData/>
  </xdr:oneCellAnchor>
  <xdr:oneCellAnchor>
    <xdr:from>
      <xdr:col>14</xdr:col>
      <xdr:colOff>124205</xdr:colOff>
      <xdr:row>11</xdr:row>
      <xdr:rowOff>12191</xdr:rowOff>
    </xdr:from>
    <xdr:ext cx="179832" cy="158496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832" cy="158496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13</xdr:row>
      <xdr:rowOff>121919</xdr:rowOff>
    </xdr:from>
    <xdr:ext cx="413003" cy="358140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358140"/>
        </a:xfrm>
        <a:prstGeom prst="rect">
          <a:avLst/>
        </a:prstGeom>
      </xdr:spPr>
    </xdr:pic>
    <xdr:clientData/>
  </xdr:oneCellAnchor>
  <xdr:oneCellAnchor>
    <xdr:from>
      <xdr:col>14</xdr:col>
      <xdr:colOff>8382</xdr:colOff>
      <xdr:row>13</xdr:row>
      <xdr:rowOff>173736</xdr:rowOff>
    </xdr:from>
    <xdr:ext cx="405383" cy="256031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5383" cy="256031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16</xdr:row>
      <xdr:rowOff>79248</xdr:rowOff>
    </xdr:from>
    <xdr:ext cx="413003" cy="592835"/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592835"/>
        </a:xfrm>
        <a:prstGeom prst="rect">
          <a:avLst/>
        </a:prstGeom>
      </xdr:spPr>
    </xdr:pic>
    <xdr:clientData/>
  </xdr:oneCellAnchor>
  <xdr:oneCellAnchor>
    <xdr:from>
      <xdr:col>14</xdr:col>
      <xdr:colOff>151638</xdr:colOff>
      <xdr:row>16</xdr:row>
      <xdr:rowOff>36576</xdr:rowOff>
    </xdr:from>
    <xdr:ext cx="114300" cy="106679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300" cy="106679"/>
        </a:xfrm>
        <a:prstGeom prst="rect">
          <a:avLst/>
        </a:prstGeom>
      </xdr:spPr>
    </xdr:pic>
    <xdr:clientData/>
  </xdr:oneCellAnchor>
  <xdr:oneCellAnchor>
    <xdr:from>
      <xdr:col>14</xdr:col>
      <xdr:colOff>150114</xdr:colOff>
      <xdr:row>17</xdr:row>
      <xdr:rowOff>36576</xdr:rowOff>
    </xdr:from>
    <xdr:ext cx="115824" cy="106679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824" cy="106679"/>
        </a:xfrm>
        <a:prstGeom prst="rect">
          <a:avLst/>
        </a:prstGeom>
      </xdr:spPr>
    </xdr:pic>
    <xdr:clientData/>
  </xdr:oneCellAnchor>
  <xdr:oneCellAnchor>
    <xdr:from>
      <xdr:col>14</xdr:col>
      <xdr:colOff>125729</xdr:colOff>
      <xdr:row>18</xdr:row>
      <xdr:rowOff>36576</xdr:rowOff>
    </xdr:from>
    <xdr:ext cx="164591" cy="106679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591" cy="106679"/>
        </a:xfrm>
        <a:prstGeom prst="rect">
          <a:avLst/>
        </a:prstGeom>
      </xdr:spPr>
    </xdr:pic>
    <xdr:clientData/>
  </xdr:oneCellAnchor>
  <xdr:oneCellAnchor>
    <xdr:from>
      <xdr:col>14</xdr:col>
      <xdr:colOff>140970</xdr:colOff>
      <xdr:row>19</xdr:row>
      <xdr:rowOff>36576</xdr:rowOff>
    </xdr:from>
    <xdr:ext cx="134112" cy="106679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12" cy="106679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20</xdr:row>
      <xdr:rowOff>3048</xdr:rowOff>
    </xdr:from>
    <xdr:ext cx="413003" cy="556259"/>
    <xdr:pic>
      <xdr:nvPicPr>
        <xdr:cNvPr id="15" name="image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556259"/>
        </a:xfrm>
        <a:prstGeom prst="rect">
          <a:avLst/>
        </a:prstGeom>
      </xdr:spPr>
    </xdr:pic>
    <xdr:clientData/>
  </xdr:oneCellAnchor>
  <xdr:oneCellAnchor>
    <xdr:from>
      <xdr:col>14</xdr:col>
      <xdr:colOff>144779</xdr:colOff>
      <xdr:row>20</xdr:row>
      <xdr:rowOff>32004</xdr:rowOff>
    </xdr:from>
    <xdr:ext cx="130301" cy="117348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301" cy="117348"/>
        </a:xfrm>
        <a:prstGeom prst="rect">
          <a:avLst/>
        </a:prstGeom>
      </xdr:spPr>
    </xdr:pic>
    <xdr:clientData/>
  </xdr:oneCellAnchor>
  <xdr:oneCellAnchor>
    <xdr:from>
      <xdr:col>14</xdr:col>
      <xdr:colOff>140970</xdr:colOff>
      <xdr:row>21</xdr:row>
      <xdr:rowOff>32004</xdr:rowOff>
    </xdr:from>
    <xdr:ext cx="134112" cy="116586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12" cy="116586"/>
        </a:xfrm>
        <a:prstGeom prst="rect">
          <a:avLst/>
        </a:prstGeom>
      </xdr:spPr>
    </xdr:pic>
    <xdr:clientData/>
  </xdr:oneCellAnchor>
  <xdr:oneCellAnchor>
    <xdr:from>
      <xdr:col>14</xdr:col>
      <xdr:colOff>128778</xdr:colOff>
      <xdr:row>22</xdr:row>
      <xdr:rowOff>32004</xdr:rowOff>
    </xdr:from>
    <xdr:ext cx="166115" cy="117348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115" cy="117348"/>
        </a:xfrm>
        <a:prstGeom prst="rect">
          <a:avLst/>
        </a:prstGeom>
      </xdr:spPr>
    </xdr:pic>
    <xdr:clientData/>
  </xdr:oneCellAnchor>
  <xdr:absoluteAnchor>
    <xdr:pos x="512294" y="3554476"/>
    <xdr:ext cx="393191" cy="565403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294" y="3554476"/>
          <a:ext cx="393191" cy="565403"/>
        </a:xfrm>
        <a:prstGeom prst="rect">
          <a:avLst/>
        </a:prstGeom>
      </xdr:spPr>
    </xdr:pic>
    <xdr:clientData/>
  </xdr:absoluteAnchor>
  <xdr:oneCellAnchor>
    <xdr:from>
      <xdr:col>14</xdr:col>
      <xdr:colOff>105917</xdr:colOff>
      <xdr:row>23</xdr:row>
      <xdr:rowOff>32004</xdr:rowOff>
    </xdr:from>
    <xdr:ext cx="207263" cy="116585"/>
    <xdr:pic>
      <xdr:nvPicPr>
        <xdr:cNvPr id="20" name="image1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263" cy="116585"/>
        </a:xfrm>
        <a:prstGeom prst="rect">
          <a:avLst/>
        </a:prstGeom>
      </xdr:spPr>
    </xdr:pic>
    <xdr:clientData/>
  </xdr:oneCellAnchor>
  <xdr:oneCellAnchor>
    <xdr:from>
      <xdr:col>14</xdr:col>
      <xdr:colOff>121158</xdr:colOff>
      <xdr:row>24</xdr:row>
      <xdr:rowOff>32003</xdr:rowOff>
    </xdr:from>
    <xdr:ext cx="175260" cy="117348"/>
    <xdr:pic>
      <xdr:nvPicPr>
        <xdr:cNvPr id="21" name="image20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260" cy="117348"/>
        </a:xfrm>
        <a:prstGeom prst="rect">
          <a:avLst/>
        </a:prstGeom>
      </xdr:spPr>
    </xdr:pic>
    <xdr:clientData/>
  </xdr:oneCellAnchor>
  <xdr:oneCellAnchor>
    <xdr:from>
      <xdr:col>14</xdr:col>
      <xdr:colOff>101346</xdr:colOff>
      <xdr:row>25</xdr:row>
      <xdr:rowOff>35052</xdr:rowOff>
    </xdr:from>
    <xdr:ext cx="213360" cy="112775"/>
    <xdr:pic>
      <xdr:nvPicPr>
        <xdr:cNvPr id="22" name="image2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0" cy="112775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26</xdr:row>
      <xdr:rowOff>198120</xdr:rowOff>
    </xdr:from>
    <xdr:ext cx="413003" cy="545591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545591"/>
        </a:xfrm>
        <a:prstGeom prst="rect">
          <a:avLst/>
        </a:prstGeom>
      </xdr:spPr>
    </xdr:pic>
    <xdr:clientData/>
  </xdr:oneCellAnchor>
  <xdr:oneCellAnchor>
    <xdr:from>
      <xdr:col>14</xdr:col>
      <xdr:colOff>17526</xdr:colOff>
      <xdr:row>26</xdr:row>
      <xdr:rowOff>79247</xdr:rowOff>
    </xdr:from>
    <xdr:ext cx="381000" cy="213360"/>
    <xdr:pic>
      <xdr:nvPicPr>
        <xdr:cNvPr id="24" name="image2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13360"/>
        </a:xfrm>
        <a:prstGeom prst="rect">
          <a:avLst/>
        </a:prstGeom>
      </xdr:spPr>
    </xdr:pic>
    <xdr:clientData/>
  </xdr:oneCellAnchor>
  <xdr:oneCellAnchor>
    <xdr:from>
      <xdr:col>14</xdr:col>
      <xdr:colOff>32765</xdr:colOff>
      <xdr:row>28</xdr:row>
      <xdr:rowOff>21335</xdr:rowOff>
    </xdr:from>
    <xdr:ext cx="350520" cy="329184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0520" cy="329184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29</xdr:row>
      <xdr:rowOff>73152</xdr:rowOff>
    </xdr:from>
    <xdr:ext cx="413003" cy="606551"/>
    <xdr:pic>
      <xdr:nvPicPr>
        <xdr:cNvPr id="26" name="image2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606551"/>
        </a:xfrm>
        <a:prstGeom prst="rect">
          <a:avLst/>
        </a:prstGeom>
      </xdr:spPr>
    </xdr:pic>
    <xdr:clientData/>
  </xdr:oneCellAnchor>
  <xdr:oneCellAnchor>
    <xdr:from>
      <xdr:col>14</xdr:col>
      <xdr:colOff>145541</xdr:colOff>
      <xdr:row>29</xdr:row>
      <xdr:rowOff>32003</xdr:rowOff>
    </xdr:from>
    <xdr:ext cx="138684" cy="117348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684" cy="117348"/>
        </a:xfrm>
        <a:prstGeom prst="rect">
          <a:avLst/>
        </a:prstGeom>
      </xdr:spPr>
    </xdr:pic>
    <xdr:clientData/>
  </xdr:oneCellAnchor>
  <xdr:oneCellAnchor>
    <xdr:from>
      <xdr:col>14</xdr:col>
      <xdr:colOff>150876</xdr:colOff>
      <xdr:row>30</xdr:row>
      <xdr:rowOff>41909</xdr:rowOff>
    </xdr:from>
    <xdr:ext cx="134874" cy="106679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874" cy="106679"/>
        </a:xfrm>
        <a:prstGeom prst="rect">
          <a:avLst/>
        </a:prstGeom>
      </xdr:spPr>
    </xdr:pic>
    <xdr:clientData/>
  </xdr:oneCellAnchor>
  <xdr:oneCellAnchor>
    <xdr:from>
      <xdr:col>14</xdr:col>
      <xdr:colOff>142613</xdr:colOff>
      <xdr:row>31</xdr:row>
      <xdr:rowOff>56388</xdr:rowOff>
    </xdr:from>
    <xdr:ext cx="144660" cy="92201"/>
    <xdr:pic>
      <xdr:nvPicPr>
        <xdr:cNvPr id="29" name="image28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660" cy="92201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37</xdr:row>
      <xdr:rowOff>117347</xdr:rowOff>
    </xdr:from>
    <xdr:ext cx="411480" cy="236981"/>
    <xdr:pic>
      <xdr:nvPicPr>
        <xdr:cNvPr id="30" name="image2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0" cy="236981"/>
        </a:xfrm>
        <a:prstGeom prst="rect">
          <a:avLst/>
        </a:prstGeom>
      </xdr:spPr>
    </xdr:pic>
    <xdr:clientData/>
  </xdr:oneCellAnchor>
  <xdr:oneCellAnchor>
    <xdr:from>
      <xdr:col>14</xdr:col>
      <xdr:colOff>2285</xdr:colOff>
      <xdr:row>37</xdr:row>
      <xdr:rowOff>15240</xdr:rowOff>
    </xdr:from>
    <xdr:ext cx="413003" cy="443484"/>
    <xdr:pic>
      <xdr:nvPicPr>
        <xdr:cNvPr id="31" name="image3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443484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38</xdr:row>
      <xdr:rowOff>128523</xdr:rowOff>
    </xdr:from>
    <xdr:ext cx="411480" cy="216408"/>
    <xdr:pic>
      <xdr:nvPicPr>
        <xdr:cNvPr id="32" name="image3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0" cy="216408"/>
        </a:xfrm>
        <a:prstGeom prst="rect">
          <a:avLst/>
        </a:prstGeom>
      </xdr:spPr>
    </xdr:pic>
    <xdr:clientData/>
  </xdr:oneCellAnchor>
  <xdr:oneCellAnchor>
    <xdr:from>
      <xdr:col>14</xdr:col>
      <xdr:colOff>2285</xdr:colOff>
      <xdr:row>38</xdr:row>
      <xdr:rowOff>134620</xdr:rowOff>
    </xdr:from>
    <xdr:ext cx="413003" cy="205739"/>
    <xdr:pic>
      <xdr:nvPicPr>
        <xdr:cNvPr id="33" name="image3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205739"/>
        </a:xfrm>
        <a:prstGeom prst="rect">
          <a:avLst/>
        </a:prstGeom>
      </xdr:spPr>
    </xdr:pic>
    <xdr:clientData/>
  </xdr:oneCellAnchor>
  <xdr:oneCellAnchor>
    <xdr:from>
      <xdr:col>1</xdr:col>
      <xdr:colOff>11430</xdr:colOff>
      <xdr:row>38</xdr:row>
      <xdr:rowOff>482091</xdr:rowOff>
    </xdr:from>
    <xdr:ext cx="393191" cy="397763"/>
    <xdr:pic>
      <xdr:nvPicPr>
        <xdr:cNvPr id="34" name="image33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3191" cy="397763"/>
        </a:xfrm>
        <a:prstGeom prst="rect">
          <a:avLst/>
        </a:prstGeom>
      </xdr:spPr>
    </xdr:pic>
    <xdr:clientData/>
  </xdr:oneCellAnchor>
  <xdr:oneCellAnchor>
    <xdr:from>
      <xdr:col>14</xdr:col>
      <xdr:colOff>2285</xdr:colOff>
      <xdr:row>39</xdr:row>
      <xdr:rowOff>40640</xdr:rowOff>
    </xdr:from>
    <xdr:ext cx="413003" cy="315467"/>
    <xdr:pic>
      <xdr:nvPicPr>
        <xdr:cNvPr id="35" name="image34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315467"/>
        </a:xfrm>
        <a:prstGeom prst="rect">
          <a:avLst/>
        </a:prstGeom>
      </xdr:spPr>
    </xdr:pic>
    <xdr:clientData/>
  </xdr:oneCellAnchor>
  <xdr:oneCellAnchor>
    <xdr:from>
      <xdr:col>1</xdr:col>
      <xdr:colOff>17526</xdr:colOff>
      <xdr:row>40</xdr:row>
      <xdr:rowOff>7619</xdr:rowOff>
    </xdr:from>
    <xdr:ext cx="381000" cy="381000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14</xdr:col>
      <xdr:colOff>6858</xdr:colOff>
      <xdr:row>40</xdr:row>
      <xdr:rowOff>58673</xdr:rowOff>
    </xdr:from>
    <xdr:ext cx="402336" cy="339851"/>
    <xdr:pic>
      <xdr:nvPicPr>
        <xdr:cNvPr id="37" name="image36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336" cy="339851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41</xdr:row>
      <xdr:rowOff>120904</xdr:rowOff>
    </xdr:from>
    <xdr:ext cx="413003" cy="143256"/>
    <xdr:pic>
      <xdr:nvPicPr>
        <xdr:cNvPr id="38" name="image37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143256"/>
        </a:xfrm>
        <a:prstGeom prst="rect">
          <a:avLst/>
        </a:prstGeom>
      </xdr:spPr>
    </xdr:pic>
    <xdr:clientData/>
  </xdr:oneCellAnchor>
  <xdr:oneCellAnchor>
    <xdr:from>
      <xdr:col>1</xdr:col>
      <xdr:colOff>16001</xdr:colOff>
      <xdr:row>42</xdr:row>
      <xdr:rowOff>127254</xdr:rowOff>
    </xdr:from>
    <xdr:ext cx="384047" cy="138683"/>
    <xdr:pic>
      <xdr:nvPicPr>
        <xdr:cNvPr id="39" name="image3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4047" cy="138683"/>
        </a:xfrm>
        <a:prstGeom prst="rect">
          <a:avLst/>
        </a:prstGeom>
      </xdr:spPr>
    </xdr:pic>
    <xdr:clientData/>
  </xdr:oneCellAnchor>
  <xdr:oneCellAnchor>
    <xdr:from>
      <xdr:col>14</xdr:col>
      <xdr:colOff>80009</xdr:colOff>
      <xdr:row>42</xdr:row>
      <xdr:rowOff>110490</xdr:rowOff>
    </xdr:from>
    <xdr:ext cx="256031" cy="162306"/>
    <xdr:pic>
      <xdr:nvPicPr>
        <xdr:cNvPr id="40" name="image3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031" cy="162306"/>
        </a:xfrm>
        <a:prstGeom prst="rect">
          <a:avLst/>
        </a:prstGeom>
      </xdr:spPr>
    </xdr:pic>
    <xdr:clientData/>
  </xdr:oneCellAnchor>
  <xdr:oneCellAnchor>
    <xdr:from>
      <xdr:col>0</xdr:col>
      <xdr:colOff>502758</xdr:colOff>
      <xdr:row>44</xdr:row>
      <xdr:rowOff>357698</xdr:rowOff>
    </xdr:from>
    <xdr:ext cx="371856" cy="387095"/>
    <xdr:pic>
      <xdr:nvPicPr>
        <xdr:cNvPr id="41" name="image40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758" y="9135130"/>
          <a:ext cx="371856" cy="387095"/>
        </a:xfrm>
        <a:prstGeom prst="rect">
          <a:avLst/>
        </a:prstGeom>
      </xdr:spPr>
    </xdr:pic>
    <xdr:clientData/>
  </xdr:oneCellAnchor>
  <xdr:oneCellAnchor>
    <xdr:from>
      <xdr:col>14</xdr:col>
      <xdr:colOff>116585</xdr:colOff>
      <xdr:row>45</xdr:row>
      <xdr:rowOff>116331</xdr:rowOff>
    </xdr:from>
    <xdr:ext cx="185927" cy="158496"/>
    <xdr:pic>
      <xdr:nvPicPr>
        <xdr:cNvPr id="42" name="image4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927" cy="158496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46</xdr:row>
      <xdr:rowOff>41148</xdr:rowOff>
    </xdr:from>
    <xdr:ext cx="413003" cy="417575"/>
    <xdr:pic>
      <xdr:nvPicPr>
        <xdr:cNvPr id="43" name="image4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417575"/>
        </a:xfrm>
        <a:prstGeom prst="rect">
          <a:avLst/>
        </a:prstGeom>
      </xdr:spPr>
    </xdr:pic>
    <xdr:clientData/>
  </xdr:oneCellAnchor>
  <xdr:oneCellAnchor>
    <xdr:from>
      <xdr:col>14</xdr:col>
      <xdr:colOff>115061</xdr:colOff>
      <xdr:row>46</xdr:row>
      <xdr:rowOff>155448</xdr:rowOff>
    </xdr:from>
    <xdr:ext cx="187451" cy="187451"/>
    <xdr:pic>
      <xdr:nvPicPr>
        <xdr:cNvPr id="44" name="image43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451" cy="187451"/>
        </a:xfrm>
        <a:prstGeom prst="rect">
          <a:avLst/>
        </a:prstGeom>
      </xdr:spPr>
    </xdr:pic>
    <xdr:clientData/>
  </xdr:oneCellAnchor>
  <xdr:oneCellAnchor>
    <xdr:from>
      <xdr:col>1</xdr:col>
      <xdr:colOff>26669</xdr:colOff>
      <xdr:row>47</xdr:row>
      <xdr:rowOff>87883</xdr:rowOff>
    </xdr:from>
    <xdr:ext cx="364235" cy="271272"/>
    <xdr:pic>
      <xdr:nvPicPr>
        <xdr:cNvPr id="45" name="image44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4235" cy="271272"/>
        </a:xfrm>
        <a:prstGeom prst="rect">
          <a:avLst/>
        </a:prstGeom>
      </xdr:spPr>
    </xdr:pic>
    <xdr:clientData/>
  </xdr:oneCellAnchor>
  <xdr:oneCellAnchor>
    <xdr:from>
      <xdr:col>14</xdr:col>
      <xdr:colOff>124205</xdr:colOff>
      <xdr:row>47</xdr:row>
      <xdr:rowOff>101600</xdr:rowOff>
    </xdr:from>
    <xdr:ext cx="169163" cy="182879"/>
    <xdr:pic>
      <xdr:nvPicPr>
        <xdr:cNvPr id="46" name="image4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163" cy="182879"/>
        </a:xfrm>
        <a:prstGeom prst="rect">
          <a:avLst/>
        </a:prstGeom>
      </xdr:spPr>
    </xdr:pic>
    <xdr:clientData/>
  </xdr:oneCellAnchor>
  <xdr:oneCellAnchor>
    <xdr:from>
      <xdr:col>1</xdr:col>
      <xdr:colOff>28194</xdr:colOff>
      <xdr:row>48</xdr:row>
      <xdr:rowOff>70612</xdr:rowOff>
    </xdr:from>
    <xdr:ext cx="361188" cy="233172"/>
    <xdr:pic>
      <xdr:nvPicPr>
        <xdr:cNvPr id="47" name="image4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1188" cy="233172"/>
        </a:xfrm>
        <a:prstGeom prst="rect">
          <a:avLst/>
        </a:prstGeom>
      </xdr:spPr>
    </xdr:pic>
    <xdr:clientData/>
  </xdr:oneCellAnchor>
  <xdr:oneCellAnchor>
    <xdr:from>
      <xdr:col>14</xdr:col>
      <xdr:colOff>96773</xdr:colOff>
      <xdr:row>48</xdr:row>
      <xdr:rowOff>43179</xdr:rowOff>
    </xdr:from>
    <xdr:ext cx="225551" cy="284987"/>
    <xdr:pic>
      <xdr:nvPicPr>
        <xdr:cNvPr id="48" name="image4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551" cy="284987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50</xdr:row>
      <xdr:rowOff>12700</xdr:rowOff>
    </xdr:from>
    <xdr:ext cx="413003" cy="335279"/>
    <xdr:pic>
      <xdr:nvPicPr>
        <xdr:cNvPr id="49" name="image4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335279"/>
        </a:xfrm>
        <a:prstGeom prst="rect">
          <a:avLst/>
        </a:prstGeom>
      </xdr:spPr>
    </xdr:pic>
    <xdr:clientData/>
  </xdr:oneCellAnchor>
  <xdr:oneCellAnchor>
    <xdr:from>
      <xdr:col>1</xdr:col>
      <xdr:colOff>72390</xdr:colOff>
      <xdr:row>51</xdr:row>
      <xdr:rowOff>36067</xdr:rowOff>
    </xdr:from>
    <xdr:ext cx="272795" cy="289559"/>
    <xdr:pic>
      <xdr:nvPicPr>
        <xdr:cNvPr id="50" name="image49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2795" cy="289559"/>
        </a:xfrm>
        <a:prstGeom prst="rect">
          <a:avLst/>
        </a:prstGeom>
      </xdr:spPr>
    </xdr:pic>
    <xdr:clientData/>
  </xdr:oneCellAnchor>
  <xdr:oneCellAnchor>
    <xdr:from>
      <xdr:col>14</xdr:col>
      <xdr:colOff>84582</xdr:colOff>
      <xdr:row>51</xdr:row>
      <xdr:rowOff>100076</xdr:rowOff>
    </xdr:from>
    <xdr:ext cx="246887" cy="160020"/>
    <xdr:pic>
      <xdr:nvPicPr>
        <xdr:cNvPr id="51" name="image50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887" cy="160020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52</xdr:row>
      <xdr:rowOff>86867</xdr:rowOff>
    </xdr:from>
    <xdr:ext cx="413003" cy="288035"/>
    <xdr:pic>
      <xdr:nvPicPr>
        <xdr:cNvPr id="52" name="image5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288035"/>
        </a:xfrm>
        <a:prstGeom prst="rect">
          <a:avLst/>
        </a:prstGeom>
      </xdr:spPr>
    </xdr:pic>
    <xdr:clientData/>
  </xdr:oneCellAnchor>
  <xdr:oneCellAnchor>
    <xdr:from>
      <xdr:col>14</xdr:col>
      <xdr:colOff>92964</xdr:colOff>
      <xdr:row>52</xdr:row>
      <xdr:rowOff>152400</xdr:rowOff>
    </xdr:from>
    <xdr:ext cx="252983" cy="156972"/>
    <xdr:pic>
      <xdr:nvPicPr>
        <xdr:cNvPr id="53" name="image52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2983" cy="156972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53</xdr:row>
      <xdr:rowOff>74167</xdr:rowOff>
    </xdr:from>
    <xdr:ext cx="413003" cy="417575"/>
    <xdr:pic>
      <xdr:nvPicPr>
        <xdr:cNvPr id="54" name="image53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417575"/>
        </a:xfrm>
        <a:prstGeom prst="rect">
          <a:avLst/>
        </a:prstGeom>
      </xdr:spPr>
    </xdr:pic>
    <xdr:clientData/>
  </xdr:oneCellAnchor>
  <xdr:oneCellAnchor>
    <xdr:from>
      <xdr:col>14</xdr:col>
      <xdr:colOff>115061</xdr:colOff>
      <xdr:row>52</xdr:row>
      <xdr:rowOff>469391</xdr:rowOff>
    </xdr:from>
    <xdr:ext cx="188975" cy="185927"/>
    <xdr:pic>
      <xdr:nvPicPr>
        <xdr:cNvPr id="55" name="image5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975" cy="185927"/>
        </a:xfrm>
        <a:prstGeom prst="rect">
          <a:avLst/>
        </a:prstGeom>
      </xdr:spPr>
    </xdr:pic>
    <xdr:clientData/>
  </xdr:oneCellAnchor>
  <xdr:oneCellAnchor>
    <xdr:from>
      <xdr:col>14</xdr:col>
      <xdr:colOff>115061</xdr:colOff>
      <xdr:row>53</xdr:row>
      <xdr:rowOff>189991</xdr:rowOff>
    </xdr:from>
    <xdr:ext cx="188975" cy="185927"/>
    <xdr:pic>
      <xdr:nvPicPr>
        <xdr:cNvPr id="56" name="image55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975" cy="185927"/>
        </a:xfrm>
        <a:prstGeom prst="rect">
          <a:avLst/>
        </a:prstGeom>
      </xdr:spPr>
    </xdr:pic>
    <xdr:clientData/>
  </xdr:oneCellAnchor>
  <xdr:absoluteAnchor>
    <xdr:pos x="532824" y="13278150"/>
    <xdr:ext cx="381000" cy="757427"/>
    <xdr:pic>
      <xdr:nvPicPr>
        <xdr:cNvPr id="57" name="image56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824" y="13278150"/>
          <a:ext cx="381000" cy="757427"/>
        </a:xfrm>
        <a:prstGeom prst="rect">
          <a:avLst/>
        </a:prstGeom>
      </xdr:spPr>
    </xdr:pic>
    <xdr:clientData/>
  </xdr:absoluteAnchor>
  <xdr:oneCellAnchor>
    <xdr:from>
      <xdr:col>14</xdr:col>
      <xdr:colOff>46482</xdr:colOff>
      <xdr:row>56</xdr:row>
      <xdr:rowOff>25400</xdr:rowOff>
    </xdr:from>
    <xdr:ext cx="323088" cy="324612"/>
    <xdr:pic>
      <xdr:nvPicPr>
        <xdr:cNvPr id="58" name="image57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3088" cy="324612"/>
        </a:xfrm>
        <a:prstGeom prst="rect">
          <a:avLst/>
        </a:prstGeom>
      </xdr:spPr>
    </xdr:pic>
    <xdr:clientData/>
  </xdr:oneCellAnchor>
  <xdr:oneCellAnchor>
    <xdr:from>
      <xdr:col>14</xdr:col>
      <xdr:colOff>40385</xdr:colOff>
      <xdr:row>58</xdr:row>
      <xdr:rowOff>17779</xdr:rowOff>
    </xdr:from>
    <xdr:ext cx="338327" cy="338327"/>
    <xdr:pic>
      <xdr:nvPicPr>
        <xdr:cNvPr id="59" name="image58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327" cy="338327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59</xdr:row>
      <xdr:rowOff>54355</xdr:rowOff>
    </xdr:from>
    <xdr:ext cx="413003" cy="365760"/>
    <xdr:pic>
      <xdr:nvPicPr>
        <xdr:cNvPr id="60" name="image59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365760"/>
        </a:xfrm>
        <a:prstGeom prst="rect">
          <a:avLst/>
        </a:prstGeom>
      </xdr:spPr>
    </xdr:pic>
    <xdr:clientData/>
  </xdr:oneCellAnchor>
  <xdr:oneCellAnchor>
    <xdr:from>
      <xdr:col>14</xdr:col>
      <xdr:colOff>5334</xdr:colOff>
      <xdr:row>59</xdr:row>
      <xdr:rowOff>103124</xdr:rowOff>
    </xdr:from>
    <xdr:ext cx="409955" cy="269748"/>
    <xdr:pic>
      <xdr:nvPicPr>
        <xdr:cNvPr id="61" name="image60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269748"/>
        </a:xfrm>
        <a:prstGeom prst="rect">
          <a:avLst/>
        </a:prstGeom>
      </xdr:spPr>
    </xdr:pic>
    <xdr:clientData/>
  </xdr:oneCellAnchor>
  <xdr:oneCellAnchor>
    <xdr:from>
      <xdr:col>1</xdr:col>
      <xdr:colOff>87630</xdr:colOff>
      <xdr:row>60</xdr:row>
      <xdr:rowOff>44195</xdr:rowOff>
    </xdr:from>
    <xdr:ext cx="241553" cy="386334"/>
    <xdr:pic>
      <xdr:nvPicPr>
        <xdr:cNvPr id="62" name="image6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1553" cy="386334"/>
        </a:xfrm>
        <a:prstGeom prst="rect">
          <a:avLst/>
        </a:prstGeom>
      </xdr:spPr>
    </xdr:pic>
    <xdr:clientData/>
  </xdr:oneCellAnchor>
  <xdr:oneCellAnchor>
    <xdr:from>
      <xdr:col>1</xdr:col>
      <xdr:colOff>26669</xdr:colOff>
      <xdr:row>61</xdr:row>
      <xdr:rowOff>21844</xdr:rowOff>
    </xdr:from>
    <xdr:ext cx="364235" cy="457200"/>
    <xdr:pic>
      <xdr:nvPicPr>
        <xdr:cNvPr id="63" name="image62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4235" cy="45720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</xdr:row>
      <xdr:rowOff>506475</xdr:rowOff>
    </xdr:from>
    <xdr:ext cx="379475" cy="387858"/>
    <xdr:pic>
      <xdr:nvPicPr>
        <xdr:cNvPr id="64" name="image63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9475" cy="387858"/>
        </a:xfrm>
        <a:prstGeom prst="rect">
          <a:avLst/>
        </a:prstGeom>
      </xdr:spPr>
    </xdr:pic>
    <xdr:clientData/>
  </xdr:oneCellAnchor>
  <xdr:oneCellAnchor>
    <xdr:from>
      <xdr:col>14</xdr:col>
      <xdr:colOff>48005</xdr:colOff>
      <xdr:row>61</xdr:row>
      <xdr:rowOff>506475</xdr:rowOff>
    </xdr:from>
    <xdr:ext cx="320039" cy="198120"/>
    <xdr:pic>
      <xdr:nvPicPr>
        <xdr:cNvPr id="65" name="image64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" cy="198120"/>
        </a:xfrm>
        <a:prstGeom prst="rect">
          <a:avLst/>
        </a:prstGeom>
      </xdr:spPr>
    </xdr:pic>
    <xdr:clientData/>
  </xdr:oneCellAnchor>
  <xdr:absoluteAnchor>
    <xdr:pos x="554803" y="15944569"/>
    <xdr:ext cx="313944" cy="310896"/>
    <xdr:pic>
      <xdr:nvPicPr>
        <xdr:cNvPr id="66" name="image65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803" y="15944569"/>
          <a:ext cx="313944" cy="310896"/>
        </a:xfrm>
        <a:prstGeom prst="rect">
          <a:avLst/>
        </a:prstGeom>
      </xdr:spPr>
    </xdr:pic>
    <xdr:clientData/>
  </xdr:absoluteAnchor>
  <xdr:oneCellAnchor>
    <xdr:from>
      <xdr:col>14</xdr:col>
      <xdr:colOff>49529</xdr:colOff>
      <xdr:row>63</xdr:row>
      <xdr:rowOff>194564</xdr:rowOff>
    </xdr:from>
    <xdr:ext cx="318515" cy="301751"/>
    <xdr:pic>
      <xdr:nvPicPr>
        <xdr:cNvPr id="67" name="image66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8515" cy="301751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65</xdr:row>
      <xdr:rowOff>43179</xdr:rowOff>
    </xdr:from>
    <xdr:ext cx="413003" cy="313944"/>
    <xdr:pic>
      <xdr:nvPicPr>
        <xdr:cNvPr id="68" name="image67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313944"/>
        </a:xfrm>
        <a:prstGeom prst="rect">
          <a:avLst/>
        </a:prstGeom>
      </xdr:spPr>
    </xdr:pic>
    <xdr:clientData/>
  </xdr:oneCellAnchor>
  <xdr:oneCellAnchor>
    <xdr:from>
      <xdr:col>14</xdr:col>
      <xdr:colOff>8382</xdr:colOff>
      <xdr:row>64</xdr:row>
      <xdr:rowOff>316483</xdr:rowOff>
    </xdr:from>
    <xdr:ext cx="402336" cy="400811"/>
    <xdr:pic>
      <xdr:nvPicPr>
        <xdr:cNvPr id="69" name="image68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336" cy="400811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66</xdr:row>
      <xdr:rowOff>46736</xdr:rowOff>
    </xdr:from>
    <xdr:ext cx="412241" cy="320039"/>
    <xdr:pic>
      <xdr:nvPicPr>
        <xdr:cNvPr id="70" name="image69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2241" cy="320039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68</xdr:row>
      <xdr:rowOff>87883</xdr:rowOff>
    </xdr:from>
    <xdr:ext cx="413003" cy="211836"/>
    <xdr:pic>
      <xdr:nvPicPr>
        <xdr:cNvPr id="71" name="image70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3003" cy="211836"/>
        </a:xfrm>
        <a:prstGeom prst="rect">
          <a:avLst/>
        </a:prstGeom>
      </xdr:spPr>
    </xdr:pic>
    <xdr:clientData/>
  </xdr:oneCellAnchor>
  <xdr:oneCellAnchor>
    <xdr:from>
      <xdr:col>14</xdr:col>
      <xdr:colOff>22097</xdr:colOff>
      <xdr:row>68</xdr:row>
      <xdr:rowOff>8636</xdr:rowOff>
    </xdr:from>
    <xdr:ext cx="371855" cy="371856"/>
    <xdr:pic>
      <xdr:nvPicPr>
        <xdr:cNvPr id="72" name="image7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855" cy="371856"/>
        </a:xfrm>
        <a:prstGeom prst="rect">
          <a:avLst/>
        </a:prstGeom>
      </xdr:spPr>
    </xdr:pic>
    <xdr:clientData/>
  </xdr:oneCellAnchor>
  <xdr:oneCellAnchor>
    <xdr:from>
      <xdr:col>1</xdr:col>
      <xdr:colOff>13716</xdr:colOff>
      <xdr:row>69</xdr:row>
      <xdr:rowOff>41655</xdr:rowOff>
    </xdr:from>
    <xdr:ext cx="401573" cy="239268"/>
    <xdr:pic>
      <xdr:nvPicPr>
        <xdr:cNvPr id="73" name="image72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1573" cy="239268"/>
        </a:xfrm>
        <a:prstGeom prst="rect">
          <a:avLst/>
        </a:prstGeom>
      </xdr:spPr>
    </xdr:pic>
    <xdr:clientData/>
  </xdr:oneCellAnchor>
  <xdr:oneCellAnchor>
    <xdr:from>
      <xdr:col>14</xdr:col>
      <xdr:colOff>13715</xdr:colOff>
      <xdr:row>69</xdr:row>
      <xdr:rowOff>6603</xdr:rowOff>
    </xdr:from>
    <xdr:ext cx="401574" cy="310895"/>
    <xdr:pic>
      <xdr:nvPicPr>
        <xdr:cNvPr id="74" name="image73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1574" cy="310895"/>
        </a:xfrm>
        <a:prstGeom prst="rect">
          <a:avLst/>
        </a:prstGeom>
      </xdr:spPr>
    </xdr:pic>
    <xdr:clientData/>
  </xdr:oneCellAnchor>
  <xdr:oneCellAnchor>
    <xdr:from>
      <xdr:col>1</xdr:col>
      <xdr:colOff>2286</xdr:colOff>
      <xdr:row>70</xdr:row>
      <xdr:rowOff>74168</xdr:rowOff>
    </xdr:from>
    <xdr:ext cx="411480" cy="172212"/>
    <xdr:pic>
      <xdr:nvPicPr>
        <xdr:cNvPr id="75" name="image74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0" cy="172212"/>
        </a:xfrm>
        <a:prstGeom prst="rect">
          <a:avLst/>
        </a:prstGeom>
      </xdr:spPr>
    </xdr:pic>
    <xdr:clientData/>
  </xdr:oneCellAnchor>
  <xdr:oneCellAnchor>
    <xdr:from>
      <xdr:col>1</xdr:col>
      <xdr:colOff>64769</xdr:colOff>
      <xdr:row>70</xdr:row>
      <xdr:rowOff>328675</xdr:rowOff>
    </xdr:from>
    <xdr:ext cx="288035" cy="324611"/>
    <xdr:pic>
      <xdr:nvPicPr>
        <xdr:cNvPr id="76" name="image75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8035" cy="324611"/>
        </a:xfrm>
        <a:prstGeom prst="rect">
          <a:avLst/>
        </a:prstGeom>
      </xdr:spPr>
    </xdr:pic>
    <xdr:clientData/>
  </xdr:oneCellAnchor>
  <xdr:oneCellAnchor>
    <xdr:from>
      <xdr:col>14</xdr:col>
      <xdr:colOff>9905</xdr:colOff>
      <xdr:row>71</xdr:row>
      <xdr:rowOff>13716</xdr:rowOff>
    </xdr:from>
    <xdr:ext cx="396239" cy="295656"/>
    <xdr:pic>
      <xdr:nvPicPr>
        <xdr:cNvPr id="77" name="image76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239" cy="2956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tunushome.com/product/3d-knitted-modular-sofa-loveseats-2-seaters-bubble-44654/?variant=55297" TargetMode="External"/><Relationship Id="rId18" Type="http://schemas.openxmlformats.org/officeDocument/2006/relationships/hyperlink" Target="https://atunusfurniture.com/product/minimalist-modern-sherpa-sectional-loveseat/" TargetMode="External"/><Relationship Id="rId26" Type="http://schemas.openxmlformats.org/officeDocument/2006/relationships/hyperlink" Target="https://atunusfurniture.com/product/modern-luxury-solid-wood-bar-stool/" TargetMode="External"/><Relationship Id="rId39" Type="http://schemas.openxmlformats.org/officeDocument/2006/relationships/hyperlink" Target="https://atunusfurniture.com/product/modern-classic-leather-lounge-chair-with-ottoman/" TargetMode="External"/><Relationship Id="rId21" Type="http://schemas.openxmlformats.org/officeDocument/2006/relationships/hyperlink" Target="https://atunusfurniture.com/product/modern-minimalist-dining-table-with-tapered-walnut-base/" TargetMode="External"/><Relationship Id="rId34" Type="http://schemas.openxmlformats.org/officeDocument/2006/relationships/hyperlink" Target="https://cozhaven.com/products/mara-3d-bubble-bed?_pos=1&amp;_psq=bubble&amp;_ss=e&amp;_v=1.0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s://atunushome.com/product/sogno-sofa-3-seat-l-shaped/?variant=32256" TargetMode="External"/><Relationship Id="rId2" Type="http://schemas.openxmlformats.org/officeDocument/2006/relationships/hyperlink" Target="https://atunushome.com/product/linen-cloud-sofa-96-inch-corner-sectionals-4-seaters-sky-slope-52653/?variant=52654" TargetMode="External"/><Relationship Id="rId16" Type="http://schemas.openxmlformats.org/officeDocument/2006/relationships/hyperlink" Target="https://atunushome.com/product/teddy-velvet-lazy-sofa-72-inch-corner-sectionals-3-seaters-caterpillar-15746/?variant=15752" TargetMode="External"/><Relationship Id="rId20" Type="http://schemas.openxmlformats.org/officeDocument/2006/relationships/hyperlink" Target="https://atunusfurniture.com/product/modern-modular-sectional-sofa-beige-fabric-freely-assemblable-for-living-room-leisure-area/" TargetMode="External"/><Relationship Id="rId29" Type="http://schemas.openxmlformats.org/officeDocument/2006/relationships/hyperlink" Target="https://atunusfurniture.com/product/modern-round-marbledining-table-with-turntable-painted-iron-leg-for-dining-room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cozhaven.com/products/snugglesoft-couch-single-seat?_pos=3&amp;_psq=snug&amp;_ss=e&amp;_v=1.0" TargetMode="External"/><Relationship Id="rId6" Type="http://schemas.openxmlformats.org/officeDocument/2006/relationships/hyperlink" Target="https://atunushome.com/product/linen-sectional-sofa-sleepers-3-seaters-sky-14780/" TargetMode="External"/><Relationship Id="rId11" Type="http://schemas.openxmlformats.org/officeDocument/2006/relationships/hyperlink" Target="https://atunushome.com/product/3d-knitted-modular-sofa-single-sofa-1-seaters-bubble-44620/?variant=55291" TargetMode="External"/><Relationship Id="rId24" Type="http://schemas.openxmlformats.org/officeDocument/2006/relationships/hyperlink" Target="https://atunusfurniture.com/product/black-ellipsoid-solid-plywood-dining-table-with-ash-wood-finish/" TargetMode="External"/><Relationship Id="rId32" Type="http://schemas.openxmlformats.org/officeDocument/2006/relationships/hyperlink" Target="https://atunusfurniture.com/product/scandi-round-sintered-stone-coffee-table/" TargetMode="External"/><Relationship Id="rId37" Type="http://schemas.openxmlformats.org/officeDocument/2006/relationships/hyperlink" Target="https://atunusfurniture.com/product/modern-enveloping-single-sofa-chair-cream-white-velvet-light-luxury-design-for-living-room-leisure-area/" TargetMode="External"/><Relationship Id="rId40" Type="http://schemas.openxmlformats.org/officeDocument/2006/relationships/hyperlink" Target="https://atunusfurniture.com/product/unique-modern-stripe-accent-chair-sofa-with-ottoman/" TargetMode="External"/><Relationship Id="rId5" Type="http://schemas.openxmlformats.org/officeDocument/2006/relationships/hyperlink" Target="https://atunushome.com/product/softspot-modular-sofa-three-seats-with-1-ottoman/?variant=17049" TargetMode="External"/><Relationship Id="rId15" Type="http://schemas.openxmlformats.org/officeDocument/2006/relationships/hyperlink" Target="https://atunushome.com/product/3d-knitted-modular-sofa-loveseats-2-seaters-bubble-46588/?variant=46593" TargetMode="External"/><Relationship Id="rId23" Type="http://schemas.openxmlformats.org/officeDocument/2006/relationships/hyperlink" Target="https://atunusfurniture.com/product/rotatable-upholstered-dining-chair-beige-modern-accent-chair-with-flared-pedestal-base/" TargetMode="External"/><Relationship Id="rId28" Type="http://schemas.openxmlformats.org/officeDocument/2006/relationships/hyperlink" Target="https://atunusfurniture.com/product/fleece-upholsteted-ash-woord-dining-chait/" TargetMode="External"/><Relationship Id="rId36" Type="http://schemas.openxmlformats.org/officeDocument/2006/relationships/hyperlink" Target="https://atunusfurniture.com/product/modern-armless-single-sofa-round-seat/" TargetMode="External"/><Relationship Id="rId10" Type="http://schemas.openxmlformats.org/officeDocument/2006/relationships/hyperlink" Target="https://atunushome.com/product/bubble-curve-boneless-sherpa-fleece-sofa-comfy-loveseat-couch-deep-seat-lounge-sofa/?variant=63138" TargetMode="External"/><Relationship Id="rId19" Type="http://schemas.openxmlformats.org/officeDocument/2006/relationships/hyperlink" Target="https://atunusfurniture.com/product/contemporary-curved-couch-in-sherpa-cover/" TargetMode="External"/><Relationship Id="rId31" Type="http://schemas.openxmlformats.org/officeDocument/2006/relationships/hyperlink" Target="https://atunusfurniture.com/product/modern-rectangular-sintered-stone-coffee-table/" TargetMode="External"/><Relationship Id="rId4" Type="http://schemas.openxmlformats.org/officeDocument/2006/relationships/hyperlink" Target="https://atunushome.com/product/softspot-modular-sofa-three-seats/?variant=26680" TargetMode="External"/><Relationship Id="rId9" Type="http://schemas.openxmlformats.org/officeDocument/2006/relationships/hyperlink" Target="https://atunushome.com/product/velvet-modular-sofa-u-shaped-sectionals-6-seaters-urban-14820/?variant=14821" TargetMode="External"/><Relationship Id="rId14" Type="http://schemas.openxmlformats.org/officeDocument/2006/relationships/hyperlink" Target="https://atunushome.com/product/3d-knitted-modular-sofa-sleepers-3-seaters-bubble-57780/?variant=57809" TargetMode="External"/><Relationship Id="rId22" Type="http://schemas.openxmlformats.org/officeDocument/2006/relationships/hyperlink" Target="https://atunusfurniture.com/product/modern-sintered-marble-dining-table-u-shape-stainless-steel-base-for-dining-room/" TargetMode="External"/><Relationship Id="rId27" Type="http://schemas.openxmlformats.org/officeDocument/2006/relationships/hyperlink" Target="https://atunusfurniture.com/product/mid-century-slatted-wood-tv-stand/" TargetMode="External"/><Relationship Id="rId30" Type="http://schemas.openxmlformats.org/officeDocument/2006/relationships/hyperlink" Target="https://atunusfurniture.com/product/modern-marble-dining-table-rectangular-center-tables-with-sintered-stone-top-for-home-living-room/" TargetMode="External"/><Relationship Id="rId35" Type="http://schemas.openxmlformats.org/officeDocument/2006/relationships/hyperlink" Target="https://atunusfurniture.com/product/leisure-lounge-chair-corduroy-fabric-solid-wood-frame-for-living-room-corner-bedroom-rest-area/" TargetMode="External"/><Relationship Id="rId8" Type="http://schemas.openxmlformats.org/officeDocument/2006/relationships/hyperlink" Target="https://atunushome.com/product/corduroy-modular-sofa-l-shaped-sectionals-4-seaters-pixel-24282/?variant=27812" TargetMode="External"/><Relationship Id="rId3" Type="http://schemas.openxmlformats.org/officeDocument/2006/relationships/hyperlink" Target="https://atunushome.com/product/cloud-modular-sofa-7-seat-chaise-corner-sectional/?variant=27478" TargetMode="External"/><Relationship Id="rId12" Type="http://schemas.openxmlformats.org/officeDocument/2006/relationships/hyperlink" Target="https://atunushome.com/product/3d-knitted-modular-sofa-ottomans-1-seaters-bubble-44698/?variant=55295" TargetMode="External"/><Relationship Id="rId17" Type="http://schemas.openxmlformats.org/officeDocument/2006/relationships/hyperlink" Target="https://atunusfurniture.com/product/l-shaped-sectional-sofa-beige-cloud-sofa-fixed-chaise-lounge-oversized-deep-seat-couch/" TargetMode="External"/><Relationship Id="rId25" Type="http://schemas.openxmlformats.org/officeDocument/2006/relationships/hyperlink" Target="https://atunusfurniture.com/product/modern-light-luxury-teddy-fabric-dining-chair/" TargetMode="External"/><Relationship Id="rId33" Type="http://schemas.openxmlformats.org/officeDocument/2006/relationships/hyperlink" Target="https://atunusfurniture.com/product/modern-oak-glass-coffee-table/" TargetMode="External"/><Relationship Id="rId38" Type="http://schemas.openxmlformats.org/officeDocument/2006/relationships/hyperlink" Target="https://atunusfurniture.com/product/modern-cashew-shaped-sofa-cream-white-fabric-artistic-shape-for-living-room-leisure-ar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topLeftCell="A67" zoomScale="220" zoomScaleNormal="220" workbookViewId="0">
      <selection activeCell="J73" sqref="J73"/>
    </sheetView>
  </sheetViews>
  <sheetFormatPr defaultRowHeight="13" x14ac:dyDescent="0.3"/>
  <cols>
    <col min="1" max="1" width="8" customWidth="1"/>
    <col min="2" max="2" width="6.8984375" customWidth="1"/>
    <col min="3" max="3" width="8" customWidth="1"/>
    <col min="4" max="4" width="6.8984375" customWidth="1"/>
    <col min="5" max="5" width="8" customWidth="1"/>
    <col min="6" max="6" width="8" hidden="1" customWidth="1"/>
    <col min="7" max="7" width="4.69921875" hidden="1" customWidth="1"/>
    <col min="8" max="8" width="4.19921875" style="95" customWidth="1"/>
    <col min="9" max="10" width="12.796875" style="95" customWidth="1"/>
    <col min="11" max="11" width="6.8984375" customWidth="1"/>
    <col min="12" max="12" width="8" customWidth="1"/>
    <col min="13" max="13" width="6.8984375" customWidth="1"/>
    <col min="14" max="15" width="8" customWidth="1"/>
    <col min="16" max="16" width="6.8984375" customWidth="1"/>
  </cols>
  <sheetData>
    <row r="1" spans="1:16" s="212" customFormat="1" ht="14.5" customHeight="1" x14ac:dyDescent="0.3">
      <c r="A1" s="209" t="s">
        <v>0</v>
      </c>
      <c r="B1" s="210" t="s">
        <v>1</v>
      </c>
      <c r="C1" s="228" t="s">
        <v>2</v>
      </c>
      <c r="D1" s="209" t="s">
        <v>3</v>
      </c>
      <c r="E1" s="209" t="s">
        <v>4</v>
      </c>
      <c r="F1" s="209" t="s">
        <v>5</v>
      </c>
      <c r="G1" s="209" t="s">
        <v>296</v>
      </c>
      <c r="H1" s="226" t="s">
        <v>297</v>
      </c>
      <c r="I1" s="226" t="s">
        <v>313</v>
      </c>
      <c r="J1" s="225" t="s">
        <v>315</v>
      </c>
      <c r="K1" s="209" t="s">
        <v>6</v>
      </c>
      <c r="L1" s="209" t="s">
        <v>7</v>
      </c>
      <c r="M1" s="209" t="s">
        <v>8</v>
      </c>
      <c r="N1" s="209" t="s">
        <v>9</v>
      </c>
      <c r="O1" s="211"/>
      <c r="P1" s="209" t="s">
        <v>10</v>
      </c>
    </row>
    <row r="2" spans="1:16" s="71" customFormat="1" ht="12" customHeight="1" x14ac:dyDescent="0.3">
      <c r="A2" s="96"/>
      <c r="B2" s="143"/>
      <c r="C2" s="96"/>
      <c r="D2" s="96"/>
      <c r="E2" s="73" t="s">
        <v>11</v>
      </c>
      <c r="F2" s="73" t="s">
        <v>12</v>
      </c>
      <c r="G2" s="73">
        <v>628</v>
      </c>
      <c r="H2" s="88">
        <v>1794.2857142857144</v>
      </c>
      <c r="I2" s="213" t="s">
        <v>314</v>
      </c>
      <c r="J2" s="219"/>
      <c r="K2" s="97" t="s">
        <v>298</v>
      </c>
      <c r="L2" s="98" t="s">
        <v>13</v>
      </c>
      <c r="M2" s="99">
        <v>0.82</v>
      </c>
      <c r="N2" s="100">
        <v>48.5</v>
      </c>
      <c r="O2" s="146"/>
      <c r="P2" s="149" t="s">
        <v>14</v>
      </c>
    </row>
    <row r="3" spans="1:16" s="71" customFormat="1" ht="6" customHeight="1" x14ac:dyDescent="0.3">
      <c r="A3" s="101"/>
      <c r="B3" s="144"/>
      <c r="C3" s="101"/>
      <c r="D3" s="76" t="s">
        <v>15</v>
      </c>
      <c r="E3" s="74"/>
      <c r="F3" s="74"/>
      <c r="G3" s="74"/>
      <c r="H3" s="93"/>
      <c r="I3" s="214"/>
      <c r="J3" s="220"/>
      <c r="K3" s="74"/>
      <c r="L3" s="74"/>
      <c r="M3" s="74"/>
      <c r="N3" s="74"/>
      <c r="O3" s="147"/>
      <c r="P3" s="150"/>
    </row>
    <row r="4" spans="1:16" s="71" customFormat="1" ht="6" customHeight="1" x14ac:dyDescent="0.3">
      <c r="A4" s="101"/>
      <c r="B4" s="144"/>
      <c r="C4" s="101"/>
      <c r="D4" s="76" t="s">
        <v>16</v>
      </c>
      <c r="E4" s="75"/>
      <c r="F4" s="75"/>
      <c r="G4" s="75"/>
      <c r="H4" s="94"/>
      <c r="I4" s="214"/>
      <c r="J4" s="220"/>
      <c r="K4" s="75"/>
      <c r="L4" s="75"/>
      <c r="M4" s="75"/>
      <c r="N4" s="75"/>
      <c r="O4" s="147"/>
      <c r="P4" s="151">
        <v>0</v>
      </c>
    </row>
    <row r="5" spans="1:16" s="71" customFormat="1" ht="6.75" customHeight="1" x14ac:dyDescent="0.3">
      <c r="A5" s="76" t="s">
        <v>17</v>
      </c>
      <c r="B5" s="144"/>
      <c r="C5" s="102" t="s">
        <v>18</v>
      </c>
      <c r="D5" s="76" t="s">
        <v>19</v>
      </c>
      <c r="E5" s="76" t="s">
        <v>20</v>
      </c>
      <c r="F5" s="76" t="s">
        <v>21</v>
      </c>
      <c r="G5" s="76">
        <v>806</v>
      </c>
      <c r="H5" s="88">
        <v>2302.8571428571431</v>
      </c>
      <c r="I5" s="214"/>
      <c r="J5" s="220"/>
      <c r="K5" s="103" t="s">
        <v>22</v>
      </c>
      <c r="L5" s="103" t="s">
        <v>23</v>
      </c>
      <c r="M5" s="104">
        <v>1.59</v>
      </c>
      <c r="N5" s="105">
        <v>71</v>
      </c>
      <c r="O5" s="147"/>
      <c r="P5" s="152"/>
    </row>
    <row r="6" spans="1:16" s="71" customFormat="1" ht="6" customHeight="1" x14ac:dyDescent="0.3">
      <c r="A6" s="101"/>
      <c r="B6" s="144"/>
      <c r="C6" s="101"/>
      <c r="D6" s="76" t="s">
        <v>24</v>
      </c>
      <c r="E6" s="74"/>
      <c r="F6" s="74"/>
      <c r="G6" s="74"/>
      <c r="H6" s="93"/>
      <c r="I6" s="214"/>
      <c r="J6" s="220"/>
      <c r="K6" s="74"/>
      <c r="L6" s="74"/>
      <c r="M6" s="74"/>
      <c r="N6" s="74"/>
      <c r="O6" s="147"/>
      <c r="P6" s="153"/>
    </row>
    <row r="7" spans="1:16" s="71" customFormat="1" ht="15" customHeight="1" x14ac:dyDescent="0.3">
      <c r="A7" s="106"/>
      <c r="B7" s="145"/>
      <c r="C7" s="106"/>
      <c r="D7" s="154" t="s">
        <v>25</v>
      </c>
      <c r="E7" s="77" t="s">
        <v>26</v>
      </c>
      <c r="F7" s="77" t="s">
        <v>27</v>
      </c>
      <c r="G7" s="77">
        <v>1083</v>
      </c>
      <c r="H7" s="88">
        <v>3094.2857142857147</v>
      </c>
      <c r="I7" s="215"/>
      <c r="J7" s="221"/>
      <c r="K7" s="107" t="s">
        <v>299</v>
      </c>
      <c r="L7" s="108" t="s">
        <v>23</v>
      </c>
      <c r="M7" s="109">
        <v>1.59</v>
      </c>
      <c r="N7" s="110">
        <v>82.5</v>
      </c>
      <c r="O7" s="148"/>
      <c r="P7" s="111" t="s">
        <v>14</v>
      </c>
    </row>
    <row r="8" spans="1:16" ht="15" customHeight="1" x14ac:dyDescent="0.3">
      <c r="A8" s="155"/>
      <c r="B8" s="155"/>
      <c r="C8" s="158" t="s">
        <v>28</v>
      </c>
      <c r="D8" s="154"/>
      <c r="E8" s="13" t="s">
        <v>29</v>
      </c>
      <c r="F8" s="13" t="s">
        <v>30</v>
      </c>
      <c r="G8" s="36">
        <v>261</v>
      </c>
      <c r="H8" s="88">
        <v>745.71428571428578</v>
      </c>
      <c r="I8" s="216" t="s">
        <v>316</v>
      </c>
      <c r="J8" s="241" t="s">
        <v>361</v>
      </c>
      <c r="K8" s="14" t="s">
        <v>31</v>
      </c>
      <c r="L8" s="14" t="s">
        <v>32</v>
      </c>
      <c r="M8" s="15">
        <v>0.27</v>
      </c>
      <c r="N8" s="16">
        <v>38.200000000000003</v>
      </c>
      <c r="O8" s="160" t="s">
        <v>33</v>
      </c>
      <c r="P8" s="161"/>
    </row>
    <row r="9" spans="1:16" ht="5.25" customHeight="1" x14ac:dyDescent="0.3">
      <c r="A9" s="156"/>
      <c r="B9" s="156"/>
      <c r="C9" s="159"/>
      <c r="D9" s="154"/>
      <c r="E9" s="6"/>
      <c r="F9" s="6"/>
      <c r="G9" s="7"/>
      <c r="H9" s="94"/>
      <c r="I9" s="217"/>
      <c r="J9" s="223"/>
      <c r="K9" s="7"/>
      <c r="L9" s="7"/>
      <c r="M9" s="7"/>
      <c r="N9" s="7"/>
      <c r="O9" s="162" t="s">
        <v>34</v>
      </c>
      <c r="P9" s="163"/>
    </row>
    <row r="10" spans="1:16" ht="6.75" customHeight="1" x14ac:dyDescent="0.3">
      <c r="A10" s="3" t="s">
        <v>35</v>
      </c>
      <c r="B10" s="156"/>
      <c r="C10" s="8" t="s">
        <v>36</v>
      </c>
      <c r="D10" s="3" t="s">
        <v>37</v>
      </c>
      <c r="E10" s="9" t="s">
        <v>38</v>
      </c>
      <c r="F10" s="9" t="s">
        <v>39</v>
      </c>
      <c r="G10" s="3">
        <v>240</v>
      </c>
      <c r="H10" s="88">
        <v>685.71428571428578</v>
      </c>
      <c r="I10" s="217"/>
      <c r="J10" s="223"/>
      <c r="K10" s="10" t="s">
        <v>40</v>
      </c>
      <c r="L10" s="10" t="s">
        <v>32</v>
      </c>
      <c r="M10" s="11">
        <v>0.27</v>
      </c>
      <c r="N10" s="17">
        <v>30.1</v>
      </c>
      <c r="O10" s="164"/>
      <c r="P10" s="165"/>
    </row>
    <row r="11" spans="1:16" ht="5.25" customHeight="1" x14ac:dyDescent="0.3">
      <c r="A11" s="168"/>
      <c r="B11" s="156"/>
      <c r="C11" s="169" t="s">
        <v>41</v>
      </c>
      <c r="D11" s="170" t="s">
        <v>42</v>
      </c>
      <c r="E11" s="4"/>
      <c r="F11" s="4"/>
      <c r="G11" s="5"/>
      <c r="H11" s="93"/>
      <c r="I11" s="217"/>
      <c r="J11" s="223"/>
      <c r="K11" s="5"/>
      <c r="L11" s="5"/>
      <c r="M11" s="5"/>
      <c r="N11" s="5"/>
      <c r="O11" s="166"/>
      <c r="P11" s="167"/>
    </row>
    <row r="12" spans="1:16" ht="5.25" customHeight="1" x14ac:dyDescent="0.3">
      <c r="A12" s="168"/>
      <c r="B12" s="156"/>
      <c r="C12" s="169"/>
      <c r="D12" s="170"/>
      <c r="E12" s="75"/>
      <c r="F12" s="6"/>
      <c r="G12" s="7"/>
      <c r="H12" s="94"/>
      <c r="I12" s="217"/>
      <c r="J12" s="223"/>
      <c r="K12" s="7"/>
      <c r="L12" s="7"/>
      <c r="M12" s="7"/>
      <c r="N12" s="7"/>
      <c r="O12" s="162" t="s">
        <v>43</v>
      </c>
      <c r="P12" s="163"/>
    </row>
    <row r="13" spans="1:16" ht="12" customHeight="1" x14ac:dyDescent="0.3">
      <c r="A13" s="12"/>
      <c r="B13" s="157"/>
      <c r="C13" s="12"/>
      <c r="D13" s="12"/>
      <c r="E13" s="18" t="s">
        <v>44</v>
      </c>
      <c r="F13" s="18" t="s">
        <v>45</v>
      </c>
      <c r="G13" s="63">
        <v>186</v>
      </c>
      <c r="H13" s="88">
        <v>531.42857142857144</v>
      </c>
      <c r="I13" s="218"/>
      <c r="J13" s="224"/>
      <c r="K13" s="19" t="s">
        <v>46</v>
      </c>
      <c r="L13" s="19" t="s">
        <v>47</v>
      </c>
      <c r="M13" s="20">
        <v>0.26500000000000001</v>
      </c>
      <c r="N13" s="21">
        <v>17</v>
      </c>
      <c r="O13" s="166"/>
      <c r="P13" s="167"/>
    </row>
    <row r="14" spans="1:16" ht="37" customHeight="1" x14ac:dyDescent="0.15">
      <c r="A14" s="22" t="s">
        <v>48</v>
      </c>
      <c r="B14" s="1"/>
      <c r="C14" s="23" t="s">
        <v>49</v>
      </c>
      <c r="D14" s="24" t="s">
        <v>50</v>
      </c>
      <c r="E14" s="87" t="s">
        <v>301</v>
      </c>
      <c r="F14" s="87" t="s">
        <v>304</v>
      </c>
      <c r="G14" s="36">
        <v>228</v>
      </c>
      <c r="H14" s="88">
        <v>651.42857142857144</v>
      </c>
      <c r="I14" s="222" t="s">
        <v>320</v>
      </c>
      <c r="J14" s="241" t="s">
        <v>361</v>
      </c>
      <c r="K14" s="25" t="s">
        <v>51</v>
      </c>
      <c r="L14" s="26" t="s">
        <v>52</v>
      </c>
      <c r="M14" s="27" t="s">
        <v>53</v>
      </c>
      <c r="N14" s="28" t="s">
        <v>54</v>
      </c>
      <c r="O14" s="1"/>
      <c r="P14" s="1" t="s">
        <v>55</v>
      </c>
    </row>
    <row r="15" spans="1:16" ht="10.5" customHeight="1" x14ac:dyDescent="0.15">
      <c r="A15" s="49"/>
      <c r="B15" s="2"/>
      <c r="C15" s="31"/>
      <c r="D15" s="47"/>
      <c r="E15" s="87" t="s">
        <v>302</v>
      </c>
      <c r="F15" s="87" t="s">
        <v>305</v>
      </c>
      <c r="G15" s="36">
        <v>215</v>
      </c>
      <c r="H15" s="88">
        <v>614.28571428571433</v>
      </c>
      <c r="I15" s="88"/>
      <c r="J15" s="88"/>
      <c r="K15" s="25"/>
      <c r="L15" s="26"/>
      <c r="M15" s="27"/>
      <c r="N15" s="28"/>
      <c r="O15" s="1"/>
      <c r="P15" s="1"/>
    </row>
    <row r="16" spans="1:16" ht="9.5" customHeight="1" x14ac:dyDescent="0.15">
      <c r="A16" s="49"/>
      <c r="B16" s="2"/>
      <c r="C16" s="31"/>
      <c r="D16" s="47"/>
      <c r="E16" s="87" t="s">
        <v>303</v>
      </c>
      <c r="F16" s="87" t="s">
        <v>306</v>
      </c>
      <c r="G16" s="36">
        <v>185</v>
      </c>
      <c r="H16" s="88">
        <v>528.57142857142856</v>
      </c>
      <c r="I16" s="88"/>
      <c r="J16" s="88"/>
      <c r="K16" s="112">
        <f>H17+H17+H18+H18+H20+H18</f>
        <v>4374.2857142857147</v>
      </c>
      <c r="L16" s="26"/>
      <c r="M16" s="27"/>
      <c r="N16" s="28"/>
      <c r="O16" s="1"/>
      <c r="P16" s="1"/>
    </row>
    <row r="17" spans="1:19" s="71" customFormat="1" ht="15" customHeight="1" x14ac:dyDescent="0.3">
      <c r="A17" s="96"/>
      <c r="B17" s="143"/>
      <c r="C17" s="96"/>
      <c r="D17" s="96"/>
      <c r="E17" s="77" t="s">
        <v>56</v>
      </c>
      <c r="F17" s="77" t="s">
        <v>57</v>
      </c>
      <c r="G17" s="77">
        <v>260</v>
      </c>
      <c r="H17" s="89">
        <v>742.85714285714289</v>
      </c>
      <c r="I17" s="229" t="s">
        <v>318</v>
      </c>
      <c r="J17" s="241" t="s">
        <v>361</v>
      </c>
      <c r="K17" s="107" t="s">
        <v>300</v>
      </c>
      <c r="L17" s="108" t="s">
        <v>58</v>
      </c>
      <c r="M17" s="109">
        <v>0.28999999999999998</v>
      </c>
      <c r="N17" s="110">
        <v>37.799999999999997</v>
      </c>
      <c r="O17" s="78"/>
      <c r="P17" s="113" t="s">
        <v>59</v>
      </c>
      <c r="R17" s="142"/>
      <c r="S17" s="142"/>
    </row>
    <row r="18" spans="1:19" s="71" customFormat="1" ht="15" customHeight="1" x14ac:dyDescent="0.3">
      <c r="A18" s="171" t="s">
        <v>60</v>
      </c>
      <c r="B18" s="144"/>
      <c r="C18" s="172" t="s">
        <v>61</v>
      </c>
      <c r="D18" s="173" t="s">
        <v>62</v>
      </c>
      <c r="E18" s="77" t="s">
        <v>63</v>
      </c>
      <c r="F18" s="77" t="s">
        <v>64</v>
      </c>
      <c r="G18" s="77">
        <v>238</v>
      </c>
      <c r="H18" s="89">
        <v>680</v>
      </c>
      <c r="I18" s="223" t="s">
        <v>319</v>
      </c>
      <c r="J18" s="89"/>
      <c r="K18" s="108" t="s">
        <v>65</v>
      </c>
      <c r="L18" s="108" t="s">
        <v>66</v>
      </c>
      <c r="M18" s="109">
        <v>0.28999999999999998</v>
      </c>
      <c r="N18" s="110">
        <v>37.9</v>
      </c>
      <c r="O18" s="78"/>
      <c r="P18" s="113" t="s">
        <v>67</v>
      </c>
    </row>
    <row r="19" spans="1:19" s="71" customFormat="1" ht="15" customHeight="1" x14ac:dyDescent="0.3">
      <c r="A19" s="171"/>
      <c r="B19" s="144"/>
      <c r="C19" s="172"/>
      <c r="D19" s="173"/>
      <c r="E19" s="77" t="s">
        <v>68</v>
      </c>
      <c r="F19" s="77" t="s">
        <v>69</v>
      </c>
      <c r="G19" s="77">
        <v>206</v>
      </c>
      <c r="H19" s="89">
        <v>588.57142857142856</v>
      </c>
      <c r="I19" s="230"/>
      <c r="J19" s="89"/>
      <c r="K19" s="108" t="s">
        <v>70</v>
      </c>
      <c r="L19" s="108" t="s">
        <v>71</v>
      </c>
      <c r="M19" s="109">
        <v>0.28999999999999998</v>
      </c>
      <c r="N19" s="110">
        <v>31.4</v>
      </c>
      <c r="O19" s="78"/>
      <c r="P19" s="113" t="s">
        <v>72</v>
      </c>
    </row>
    <row r="20" spans="1:19" s="71" customFormat="1" ht="15" customHeight="1" x14ac:dyDescent="0.3">
      <c r="A20" s="106"/>
      <c r="B20" s="145"/>
      <c r="C20" s="106"/>
      <c r="D20" s="106"/>
      <c r="E20" s="77" t="s">
        <v>73</v>
      </c>
      <c r="F20" s="77" t="s">
        <v>74</v>
      </c>
      <c r="G20" s="77">
        <v>297</v>
      </c>
      <c r="H20" s="89">
        <v>848.57142857142867</v>
      </c>
      <c r="I20" s="231"/>
      <c r="J20" s="89"/>
      <c r="K20" s="108" t="s">
        <v>75</v>
      </c>
      <c r="L20" s="108" t="s">
        <v>76</v>
      </c>
      <c r="M20" s="109">
        <v>0.28999999999999998</v>
      </c>
      <c r="N20" s="110">
        <v>33.5</v>
      </c>
      <c r="O20" s="78"/>
      <c r="P20" s="113" t="s">
        <v>77</v>
      </c>
    </row>
    <row r="21" spans="1:19" s="71" customFormat="1" ht="15" customHeight="1" x14ac:dyDescent="0.3">
      <c r="A21" s="174" t="s">
        <v>78</v>
      </c>
      <c r="B21" s="143"/>
      <c r="C21" s="177" t="s">
        <v>79</v>
      </c>
      <c r="D21" s="143"/>
      <c r="E21" s="77" t="s">
        <v>80</v>
      </c>
      <c r="F21" s="77" t="s">
        <v>81</v>
      </c>
      <c r="G21" s="77">
        <v>261</v>
      </c>
      <c r="H21" s="89">
        <v>745.71428571428578</v>
      </c>
      <c r="I21" s="216" t="s">
        <v>317</v>
      </c>
      <c r="J21" s="241" t="s">
        <v>361</v>
      </c>
      <c r="K21" s="108" t="s">
        <v>82</v>
      </c>
      <c r="L21" s="108" t="s">
        <v>83</v>
      </c>
      <c r="M21" s="114">
        <v>0.314</v>
      </c>
      <c r="N21" s="110">
        <v>37.5</v>
      </c>
      <c r="O21" s="78"/>
      <c r="P21" s="113" t="s">
        <v>84</v>
      </c>
      <c r="R21" s="115">
        <f>H21+H21+H22+H22+H21</f>
        <v>3642.8571428571436</v>
      </c>
    </row>
    <row r="22" spans="1:19" s="71" customFormat="1" ht="15" customHeight="1" x14ac:dyDescent="0.3">
      <c r="A22" s="175"/>
      <c r="B22" s="144"/>
      <c r="C22" s="178"/>
      <c r="D22" s="144"/>
      <c r="E22" s="77" t="s">
        <v>85</v>
      </c>
      <c r="F22" s="77" t="s">
        <v>86</v>
      </c>
      <c r="G22" s="77">
        <v>246</v>
      </c>
      <c r="H22" s="89">
        <v>702.85714285714289</v>
      </c>
      <c r="I22" s="217"/>
      <c r="J22" s="89"/>
      <c r="K22" s="108" t="s">
        <v>82</v>
      </c>
      <c r="L22" s="108" t="s">
        <v>87</v>
      </c>
      <c r="M22" s="114">
        <v>0.314</v>
      </c>
      <c r="N22" s="110">
        <v>33.5</v>
      </c>
      <c r="O22" s="78"/>
      <c r="P22" s="113" t="s">
        <v>88</v>
      </c>
    </row>
    <row r="23" spans="1:19" s="71" customFormat="1" ht="15" customHeight="1" x14ac:dyDescent="0.3">
      <c r="A23" s="176"/>
      <c r="B23" s="145"/>
      <c r="C23" s="179"/>
      <c r="D23" s="145"/>
      <c r="E23" s="77" t="s">
        <v>89</v>
      </c>
      <c r="F23" s="77" t="s">
        <v>90</v>
      </c>
      <c r="G23" s="77">
        <v>213</v>
      </c>
      <c r="H23" s="89">
        <v>608.57142857142856</v>
      </c>
      <c r="I23" s="218"/>
      <c r="J23" s="89"/>
      <c r="K23" s="108" t="s">
        <v>91</v>
      </c>
      <c r="L23" s="108" t="s">
        <v>92</v>
      </c>
      <c r="M23" s="114">
        <v>0.314</v>
      </c>
      <c r="N23" s="110">
        <v>34.5</v>
      </c>
      <c r="O23" s="78"/>
      <c r="P23" s="113" t="s">
        <v>93</v>
      </c>
    </row>
    <row r="24" spans="1:19" s="71" customFormat="1" ht="15.75" customHeight="1" x14ac:dyDescent="0.15">
      <c r="A24" s="180" t="s">
        <v>94</v>
      </c>
      <c r="B24" s="143"/>
      <c r="C24" s="182" t="s">
        <v>95</v>
      </c>
      <c r="D24" s="185" t="s">
        <v>96</v>
      </c>
      <c r="E24" s="77" t="s">
        <v>97</v>
      </c>
      <c r="F24" s="77" t="s">
        <v>98</v>
      </c>
      <c r="G24" s="77">
        <v>306</v>
      </c>
      <c r="H24" s="89">
        <v>874.28571428571433</v>
      </c>
      <c r="I24" s="232" t="s">
        <v>322</v>
      </c>
      <c r="J24" s="241" t="s">
        <v>361</v>
      </c>
      <c r="K24" s="108" t="s">
        <v>99</v>
      </c>
      <c r="L24" s="108" t="s">
        <v>100</v>
      </c>
      <c r="M24" s="116">
        <v>0.32200000000000001</v>
      </c>
      <c r="N24" s="117">
        <v>46.9</v>
      </c>
      <c r="O24" s="78"/>
      <c r="P24" s="113" t="s">
        <v>101</v>
      </c>
      <c r="Q24" s="115">
        <f>H24+H24+H25</f>
        <v>2534.2857142857147</v>
      </c>
    </row>
    <row r="25" spans="1:19" s="71" customFormat="1" ht="15.75" customHeight="1" x14ac:dyDescent="0.15">
      <c r="A25" s="171"/>
      <c r="B25" s="144"/>
      <c r="C25" s="183"/>
      <c r="D25" s="186"/>
      <c r="E25" s="77" t="s">
        <v>102</v>
      </c>
      <c r="F25" s="77" t="s">
        <v>103</v>
      </c>
      <c r="G25" s="77">
        <v>275</v>
      </c>
      <c r="H25" s="89">
        <v>785.71428571428578</v>
      </c>
      <c r="I25" s="89"/>
      <c r="J25" s="89"/>
      <c r="K25" s="108" t="s">
        <v>104</v>
      </c>
      <c r="L25" s="108" t="s">
        <v>105</v>
      </c>
      <c r="M25" s="114">
        <v>0.27600000000000002</v>
      </c>
      <c r="N25" s="117">
        <v>36.5</v>
      </c>
      <c r="O25" s="78"/>
      <c r="P25" s="113" t="s">
        <v>106</v>
      </c>
    </row>
    <row r="26" spans="1:19" s="71" customFormat="1" ht="15.75" customHeight="1" x14ac:dyDescent="0.15">
      <c r="A26" s="181"/>
      <c r="B26" s="145"/>
      <c r="C26" s="184"/>
      <c r="D26" s="187"/>
      <c r="E26" s="77" t="s">
        <v>107</v>
      </c>
      <c r="F26" s="77" t="s">
        <v>108</v>
      </c>
      <c r="G26" s="77">
        <v>160</v>
      </c>
      <c r="H26" s="89">
        <v>457.14285714285717</v>
      </c>
      <c r="I26" s="89"/>
      <c r="J26" s="89"/>
      <c r="K26" s="108" t="s">
        <v>109</v>
      </c>
      <c r="L26" s="108" t="s">
        <v>110</v>
      </c>
      <c r="M26" s="114">
        <v>0.186</v>
      </c>
      <c r="N26" s="118">
        <v>25</v>
      </c>
      <c r="O26" s="78"/>
      <c r="P26" s="113" t="s">
        <v>111</v>
      </c>
    </row>
    <row r="27" spans="1:19" s="71" customFormat="1" ht="30" customHeight="1" x14ac:dyDescent="0.15">
      <c r="A27" s="174" t="s">
        <v>112</v>
      </c>
      <c r="B27" s="143"/>
      <c r="C27" s="182" t="s">
        <v>113</v>
      </c>
      <c r="D27" s="188" t="s">
        <v>114</v>
      </c>
      <c r="E27" s="77" t="s">
        <v>115</v>
      </c>
      <c r="F27" s="77" t="s">
        <v>116</v>
      </c>
      <c r="G27" s="77">
        <v>329</v>
      </c>
      <c r="H27" s="89">
        <v>940.00000000000011</v>
      </c>
      <c r="I27" s="89"/>
      <c r="J27" s="89"/>
      <c r="K27" s="119" t="s">
        <v>117</v>
      </c>
      <c r="L27" s="119" t="s">
        <v>118</v>
      </c>
      <c r="M27" s="120">
        <v>0.61</v>
      </c>
      <c r="N27" s="121">
        <v>14</v>
      </c>
      <c r="O27" s="81"/>
      <c r="P27" s="137" t="s">
        <v>119</v>
      </c>
    </row>
    <row r="28" spans="1:19" s="71" customFormat="1" ht="15" customHeight="1" x14ac:dyDescent="0.3">
      <c r="A28" s="175"/>
      <c r="B28" s="144"/>
      <c r="C28" s="183"/>
      <c r="D28" s="189"/>
      <c r="E28" s="78"/>
      <c r="F28" s="78"/>
      <c r="G28" s="78"/>
      <c r="H28" s="92"/>
      <c r="I28" s="92"/>
      <c r="J28" s="92"/>
      <c r="K28" s="78"/>
      <c r="L28" s="78"/>
      <c r="M28" s="78"/>
      <c r="N28" s="78"/>
      <c r="O28" s="78"/>
      <c r="P28" s="78"/>
    </row>
    <row r="29" spans="1:19" s="71" customFormat="1" ht="30" customHeight="1" x14ac:dyDescent="0.15">
      <c r="A29" s="176"/>
      <c r="B29" s="145"/>
      <c r="C29" s="184"/>
      <c r="D29" s="190"/>
      <c r="E29" s="77" t="s">
        <v>120</v>
      </c>
      <c r="F29" s="77" t="s">
        <v>121</v>
      </c>
      <c r="G29" s="77">
        <v>721</v>
      </c>
      <c r="H29" s="89">
        <v>2060</v>
      </c>
      <c r="I29" s="232" t="s">
        <v>336</v>
      </c>
      <c r="J29" s="89"/>
      <c r="K29" s="119" t="s">
        <v>122</v>
      </c>
      <c r="L29" s="119" t="s">
        <v>123</v>
      </c>
      <c r="M29" s="120">
        <v>1.25</v>
      </c>
      <c r="N29" s="121">
        <v>30</v>
      </c>
      <c r="O29" s="81"/>
      <c r="P29" s="137" t="s">
        <v>124</v>
      </c>
    </row>
    <row r="30" spans="1:19" s="71" customFormat="1" ht="15" customHeight="1" x14ac:dyDescent="0.3">
      <c r="A30" s="174" t="s">
        <v>125</v>
      </c>
      <c r="B30" s="143"/>
      <c r="C30" s="177" t="s">
        <v>126</v>
      </c>
      <c r="D30" s="188" t="s">
        <v>127</v>
      </c>
      <c r="E30" s="77" t="s">
        <v>128</v>
      </c>
      <c r="F30" s="77" t="s">
        <v>129</v>
      </c>
      <c r="G30" s="77">
        <v>289</v>
      </c>
      <c r="H30" s="89">
        <v>825.71428571428578</v>
      </c>
      <c r="I30" s="232" t="s">
        <v>321</v>
      </c>
      <c r="J30" s="241" t="s">
        <v>361</v>
      </c>
      <c r="K30" s="108" t="s">
        <v>130</v>
      </c>
      <c r="L30" s="108" t="s">
        <v>131</v>
      </c>
      <c r="M30" s="114">
        <v>0.35199999999999998</v>
      </c>
      <c r="N30" s="78"/>
      <c r="O30" s="78"/>
      <c r="P30" s="191" t="s">
        <v>132</v>
      </c>
      <c r="Q30" s="115">
        <f>H30+H30+H31+H31</f>
        <v>3040</v>
      </c>
    </row>
    <row r="31" spans="1:19" s="71" customFormat="1" ht="15" customHeight="1" x14ac:dyDescent="0.3">
      <c r="A31" s="175"/>
      <c r="B31" s="144"/>
      <c r="C31" s="178"/>
      <c r="D31" s="189"/>
      <c r="E31" s="77" t="s">
        <v>133</v>
      </c>
      <c r="F31" s="77" t="s">
        <v>134</v>
      </c>
      <c r="G31" s="77">
        <v>243</v>
      </c>
      <c r="H31" s="89">
        <v>694.28571428571433</v>
      </c>
      <c r="I31" s="89"/>
      <c r="J31" s="89"/>
      <c r="K31" s="108" t="s">
        <v>131</v>
      </c>
      <c r="L31" s="108" t="s">
        <v>135</v>
      </c>
      <c r="M31" s="114">
        <v>0.64900000000000002</v>
      </c>
      <c r="N31" s="110">
        <v>39.4</v>
      </c>
      <c r="O31" s="78"/>
      <c r="P31" s="192"/>
    </row>
    <row r="32" spans="1:19" s="71" customFormat="1" ht="15" customHeight="1" x14ac:dyDescent="0.3">
      <c r="A32" s="175"/>
      <c r="B32" s="144"/>
      <c r="C32" s="178"/>
      <c r="D32" s="189"/>
      <c r="E32" s="77" t="s">
        <v>136</v>
      </c>
      <c r="F32" s="77" t="s">
        <v>137</v>
      </c>
      <c r="G32" s="77">
        <v>172</v>
      </c>
      <c r="H32" s="89">
        <v>491.42857142857144</v>
      </c>
      <c r="I32" s="89"/>
      <c r="J32" s="89"/>
      <c r="K32" s="108" t="s">
        <v>135</v>
      </c>
      <c r="L32" s="108" t="s">
        <v>135</v>
      </c>
      <c r="M32" s="114">
        <v>0.27300000000000002</v>
      </c>
      <c r="N32" s="109">
        <v>25.55</v>
      </c>
      <c r="O32" s="78"/>
      <c r="P32" s="191" t="s">
        <v>138</v>
      </c>
    </row>
    <row r="33" spans="1:18" s="71" customFormat="1" ht="15" customHeight="1" x14ac:dyDescent="0.3">
      <c r="A33" s="176"/>
      <c r="B33" s="145"/>
      <c r="C33" s="179"/>
      <c r="D33" s="190"/>
      <c r="E33" s="77" t="s">
        <v>139</v>
      </c>
      <c r="F33" s="77" t="s">
        <v>140</v>
      </c>
      <c r="G33" s="77">
        <v>332</v>
      </c>
      <c r="H33" s="89">
        <v>948.57142857142867</v>
      </c>
      <c r="I33" s="89"/>
      <c r="J33" s="89"/>
      <c r="K33" s="108" t="s">
        <v>141</v>
      </c>
      <c r="L33" s="108" t="s">
        <v>142</v>
      </c>
      <c r="M33" s="114">
        <v>0.35199999999999998</v>
      </c>
      <c r="N33" s="109">
        <v>61.45</v>
      </c>
      <c r="O33" s="78"/>
      <c r="P33" s="192"/>
    </row>
    <row r="34" spans="1:18" s="71" customFormat="1" ht="15" customHeight="1" x14ac:dyDescent="0.15">
      <c r="A34" s="236" t="s">
        <v>325</v>
      </c>
      <c r="B34" s="138"/>
      <c r="C34" s="239" t="s">
        <v>330</v>
      </c>
      <c r="D34" s="140"/>
      <c r="E34" s="235" t="s">
        <v>326</v>
      </c>
      <c r="F34" s="77"/>
      <c r="G34" s="77"/>
      <c r="H34" s="89"/>
      <c r="I34" s="232" t="s">
        <v>331</v>
      </c>
      <c r="J34" s="89"/>
      <c r="K34" s="108"/>
      <c r="L34" s="108"/>
      <c r="M34" s="114"/>
      <c r="N34" s="109"/>
      <c r="O34" s="78"/>
      <c r="P34" s="141"/>
    </row>
    <row r="35" spans="1:18" s="71" customFormat="1" ht="15" customHeight="1" x14ac:dyDescent="0.15">
      <c r="A35" s="237"/>
      <c r="B35" s="138"/>
      <c r="C35" s="139"/>
      <c r="D35" s="140"/>
      <c r="E35" s="235" t="s">
        <v>327</v>
      </c>
      <c r="F35" s="77"/>
      <c r="G35" s="77"/>
      <c r="H35" s="89"/>
      <c r="I35" s="232" t="s">
        <v>333</v>
      </c>
      <c r="J35" s="89"/>
      <c r="K35" s="108"/>
      <c r="L35" s="108"/>
      <c r="M35" s="114"/>
      <c r="N35" s="109"/>
      <c r="O35" s="78"/>
      <c r="P35" s="141"/>
    </row>
    <row r="36" spans="1:18" s="71" customFormat="1" ht="15" customHeight="1" x14ac:dyDescent="0.15">
      <c r="A36" s="237"/>
      <c r="B36" s="138"/>
      <c r="C36" s="139"/>
      <c r="D36" s="140"/>
      <c r="E36" s="235" t="s">
        <v>328</v>
      </c>
      <c r="F36" s="77"/>
      <c r="G36" s="77"/>
      <c r="H36" s="89"/>
      <c r="I36" s="232" t="s">
        <v>334</v>
      </c>
      <c r="J36" s="89"/>
      <c r="K36" s="108"/>
      <c r="L36" s="108"/>
      <c r="M36" s="114"/>
      <c r="N36" s="109"/>
      <c r="O36" s="78"/>
      <c r="P36" s="141"/>
    </row>
    <row r="37" spans="1:18" s="71" customFormat="1" ht="15" customHeight="1" x14ac:dyDescent="0.15">
      <c r="A37" s="238"/>
      <c r="B37" s="138"/>
      <c r="C37" s="139"/>
      <c r="D37" s="140"/>
      <c r="E37" s="235" t="s">
        <v>329</v>
      </c>
      <c r="F37" s="77"/>
      <c r="G37" s="77"/>
      <c r="H37" s="89"/>
      <c r="I37" s="232" t="s">
        <v>332</v>
      </c>
      <c r="J37" s="89"/>
      <c r="K37" s="108"/>
      <c r="L37" s="108"/>
      <c r="M37" s="114"/>
      <c r="N37" s="109"/>
      <c r="O37" s="78"/>
      <c r="P37" s="141"/>
    </row>
    <row r="38" spans="1:18" s="71" customFormat="1" ht="38" customHeight="1" x14ac:dyDescent="0.15">
      <c r="A38" s="77" t="s">
        <v>143</v>
      </c>
      <c r="B38" s="81"/>
      <c r="C38" s="177" t="s">
        <v>144</v>
      </c>
      <c r="D38" s="193" t="s">
        <v>145</v>
      </c>
      <c r="E38" s="82">
        <v>369</v>
      </c>
      <c r="F38" s="79">
        <v>513</v>
      </c>
      <c r="G38" s="79">
        <v>513</v>
      </c>
      <c r="H38" s="90">
        <v>1465.7142857142858</v>
      </c>
      <c r="I38" s="233" t="s">
        <v>357</v>
      </c>
      <c r="J38" s="90"/>
      <c r="K38" s="119" t="s">
        <v>146</v>
      </c>
      <c r="L38" s="119" t="s">
        <v>147</v>
      </c>
      <c r="M38" s="120">
        <v>0.62</v>
      </c>
      <c r="N38" s="121">
        <v>32</v>
      </c>
      <c r="O38" s="81"/>
      <c r="P38" s="122" t="s">
        <v>148</v>
      </c>
    </row>
    <row r="39" spans="1:18" s="71" customFormat="1" ht="38" customHeight="1" x14ac:dyDescent="0.15">
      <c r="A39" s="77" t="s">
        <v>149</v>
      </c>
      <c r="B39" s="81"/>
      <c r="C39" s="179"/>
      <c r="D39" s="194"/>
      <c r="E39" s="86">
        <v>1026</v>
      </c>
      <c r="F39" s="80">
        <v>1426</v>
      </c>
      <c r="G39" s="80">
        <v>1426</v>
      </c>
      <c r="H39" s="90">
        <v>4074.2857142857147</v>
      </c>
      <c r="I39" s="233" t="s">
        <v>358</v>
      </c>
      <c r="J39" s="90"/>
      <c r="K39" s="119" t="s">
        <v>150</v>
      </c>
      <c r="L39" s="119" t="s">
        <v>151</v>
      </c>
      <c r="M39" s="120">
        <v>2.25</v>
      </c>
      <c r="N39" s="121">
        <v>74</v>
      </c>
      <c r="O39" s="81"/>
      <c r="P39" s="122" t="s">
        <v>152</v>
      </c>
    </row>
    <row r="40" spans="1:18" ht="32" customHeight="1" x14ac:dyDescent="0.3">
      <c r="A40" s="36" t="s">
        <v>153</v>
      </c>
      <c r="B40" s="1"/>
      <c r="C40" s="23" t="s">
        <v>126</v>
      </c>
      <c r="D40" s="40" t="s">
        <v>154</v>
      </c>
      <c r="E40" s="41"/>
      <c r="F40" s="41"/>
      <c r="G40" s="1"/>
      <c r="H40" s="92"/>
      <c r="I40" s="227" t="s">
        <v>359</v>
      </c>
      <c r="J40" s="92"/>
      <c r="K40" s="42" t="s">
        <v>155</v>
      </c>
      <c r="L40" s="42" t="s">
        <v>156</v>
      </c>
      <c r="M40" s="15">
        <v>0.62</v>
      </c>
      <c r="N40" s="28" t="s">
        <v>157</v>
      </c>
      <c r="O40" s="1"/>
      <c r="P40" s="34" t="s">
        <v>158</v>
      </c>
    </row>
    <row r="41" spans="1:18" s="71" customFormat="1" ht="32" customHeight="1" x14ac:dyDescent="0.3">
      <c r="A41" s="77" t="s">
        <v>159</v>
      </c>
      <c r="B41" s="81"/>
      <c r="C41" s="123" t="s">
        <v>160</v>
      </c>
      <c r="D41" s="77" t="s">
        <v>161</v>
      </c>
      <c r="E41" s="82">
        <v>544</v>
      </c>
      <c r="F41" s="82">
        <v>756</v>
      </c>
      <c r="G41" s="82">
        <v>756</v>
      </c>
      <c r="H41" s="90">
        <v>2160</v>
      </c>
      <c r="I41" s="233" t="s">
        <v>360</v>
      </c>
      <c r="J41" s="90"/>
      <c r="K41" s="108" t="s">
        <v>162</v>
      </c>
      <c r="L41" s="108" t="s">
        <v>163</v>
      </c>
      <c r="M41" s="114">
        <v>1.3879999999999999</v>
      </c>
      <c r="N41" s="110">
        <v>36.5</v>
      </c>
      <c r="O41" s="81"/>
      <c r="P41" s="125" t="s">
        <v>164</v>
      </c>
    </row>
    <row r="42" spans="1:18" s="71" customFormat="1" ht="31" customHeight="1" x14ac:dyDescent="0.15">
      <c r="A42" s="77" t="s">
        <v>165</v>
      </c>
      <c r="B42" s="81"/>
      <c r="C42" s="123" t="s">
        <v>41</v>
      </c>
      <c r="D42" s="77" t="s">
        <v>166</v>
      </c>
      <c r="E42" s="82">
        <v>420</v>
      </c>
      <c r="F42" s="82">
        <v>584</v>
      </c>
      <c r="G42" s="82">
        <v>584</v>
      </c>
      <c r="H42" s="90">
        <v>1668.5714285714287</v>
      </c>
      <c r="I42" s="233" t="s">
        <v>335</v>
      </c>
      <c r="J42" s="90"/>
      <c r="K42" s="119" t="s">
        <v>167</v>
      </c>
      <c r="L42" s="119" t="s">
        <v>168</v>
      </c>
      <c r="M42" s="120">
        <v>0.34</v>
      </c>
      <c r="N42" s="121">
        <v>27</v>
      </c>
      <c r="O42" s="81"/>
      <c r="P42" s="124">
        <v>2</v>
      </c>
    </row>
    <row r="43" spans="1:18" s="71" customFormat="1" ht="28.75" customHeight="1" x14ac:dyDescent="0.15">
      <c r="A43" s="77" t="s">
        <v>169</v>
      </c>
      <c r="B43" s="81"/>
      <c r="C43" s="123" t="s">
        <v>170</v>
      </c>
      <c r="D43" s="133" t="s">
        <v>171</v>
      </c>
      <c r="E43" s="134" t="s">
        <v>307</v>
      </c>
      <c r="F43" s="134" t="s">
        <v>310</v>
      </c>
      <c r="G43" s="135">
        <v>299</v>
      </c>
      <c r="H43" s="90">
        <v>854.28571428571433</v>
      </c>
      <c r="I43" s="234" t="s">
        <v>323</v>
      </c>
      <c r="J43" s="241" t="s">
        <v>361</v>
      </c>
      <c r="K43" s="127" t="s">
        <v>172</v>
      </c>
      <c r="L43" s="122" t="s">
        <v>173</v>
      </c>
      <c r="M43" s="126">
        <v>0.3</v>
      </c>
      <c r="N43" s="136" t="s">
        <v>174</v>
      </c>
      <c r="O43" s="81"/>
      <c r="P43" s="137" t="s">
        <v>175</v>
      </c>
      <c r="R43" s="115">
        <f>H43+H43+H44+H44</f>
        <v>3320.0000000000005</v>
      </c>
    </row>
    <row r="44" spans="1:18" s="71" customFormat="1" ht="28.75" customHeight="1" x14ac:dyDescent="0.15">
      <c r="A44" s="77"/>
      <c r="B44" s="81"/>
      <c r="C44" s="123"/>
      <c r="D44" s="133"/>
      <c r="E44" s="134" t="s">
        <v>308</v>
      </c>
      <c r="F44" s="134" t="s">
        <v>311</v>
      </c>
      <c r="G44" s="135">
        <v>282</v>
      </c>
      <c r="H44" s="90">
        <v>805.71428571428578</v>
      </c>
      <c r="I44" s="90"/>
      <c r="J44" s="90"/>
      <c r="K44" s="127"/>
      <c r="L44" s="122"/>
      <c r="M44" s="126"/>
      <c r="N44" s="136"/>
      <c r="O44" s="81"/>
      <c r="P44" s="137"/>
    </row>
    <row r="45" spans="1:18" s="71" customFormat="1" ht="28.75" customHeight="1" x14ac:dyDescent="0.15">
      <c r="A45" s="77"/>
      <c r="B45" s="81"/>
      <c r="C45" s="123"/>
      <c r="D45" s="133"/>
      <c r="E45" s="134" t="s">
        <v>309</v>
      </c>
      <c r="F45" s="134" t="s">
        <v>312</v>
      </c>
      <c r="G45" s="135">
        <v>249</v>
      </c>
      <c r="H45" s="90">
        <v>711.42857142857144</v>
      </c>
      <c r="I45" s="90"/>
      <c r="J45" s="90"/>
      <c r="K45" s="127"/>
      <c r="L45" s="122"/>
      <c r="M45" s="126"/>
      <c r="N45" s="136"/>
      <c r="O45" s="81"/>
      <c r="P45" s="137"/>
    </row>
    <row r="46" spans="1:18" s="71" customFormat="1" ht="31" customHeight="1" x14ac:dyDescent="0.15">
      <c r="A46" s="77" t="s">
        <v>176</v>
      </c>
      <c r="B46" s="81"/>
      <c r="C46" s="123" t="s">
        <v>18</v>
      </c>
      <c r="D46" s="125" t="s">
        <v>177</v>
      </c>
      <c r="E46" s="82">
        <v>260</v>
      </c>
      <c r="F46" s="79">
        <v>361</v>
      </c>
      <c r="G46" s="79">
        <v>361</v>
      </c>
      <c r="H46" s="90">
        <v>1031.4285714285716</v>
      </c>
      <c r="I46" s="233" t="s">
        <v>356</v>
      </c>
      <c r="J46" s="90"/>
      <c r="K46" s="119" t="s">
        <v>178</v>
      </c>
      <c r="L46" s="119" t="s">
        <v>179</v>
      </c>
      <c r="M46" s="132">
        <v>0.46400000000000002</v>
      </c>
      <c r="N46" s="126">
        <v>16.5</v>
      </c>
      <c r="O46" s="81"/>
      <c r="P46" s="128" t="s">
        <v>14</v>
      </c>
    </row>
    <row r="47" spans="1:18" s="71" customFormat="1" ht="40" customHeight="1" x14ac:dyDescent="0.15">
      <c r="A47" s="77" t="s">
        <v>180</v>
      </c>
      <c r="B47" s="81"/>
      <c r="C47" s="123" t="s">
        <v>126</v>
      </c>
      <c r="D47" s="81"/>
      <c r="E47" s="82">
        <v>299</v>
      </c>
      <c r="F47" s="79">
        <v>416</v>
      </c>
      <c r="G47" s="79">
        <v>416</v>
      </c>
      <c r="H47" s="90">
        <v>1188.5714285714287</v>
      </c>
      <c r="I47" s="233" t="s">
        <v>324</v>
      </c>
      <c r="J47" s="90"/>
      <c r="K47" s="108" t="s">
        <v>181</v>
      </c>
      <c r="L47" s="108" t="s">
        <v>182</v>
      </c>
      <c r="M47" s="81"/>
      <c r="N47" s="109">
        <v>36.43</v>
      </c>
      <c r="O47" s="81"/>
      <c r="P47" s="122" t="s">
        <v>183</v>
      </c>
    </row>
    <row r="48" spans="1:18" s="71" customFormat="1" ht="31" customHeight="1" x14ac:dyDescent="0.15">
      <c r="A48" s="77" t="s">
        <v>184</v>
      </c>
      <c r="B48" s="81"/>
      <c r="C48" s="129" t="s">
        <v>185</v>
      </c>
      <c r="D48" s="125" t="s">
        <v>186</v>
      </c>
      <c r="E48" s="82">
        <v>202</v>
      </c>
      <c r="F48" s="79">
        <v>281</v>
      </c>
      <c r="G48" s="79">
        <v>281</v>
      </c>
      <c r="H48" s="90">
        <v>802.85714285714289</v>
      </c>
      <c r="I48" s="233" t="s">
        <v>355</v>
      </c>
      <c r="J48" s="90"/>
      <c r="K48" s="119" t="s">
        <v>187</v>
      </c>
      <c r="L48" s="119" t="s">
        <v>188</v>
      </c>
      <c r="M48" s="120">
        <v>0.19</v>
      </c>
      <c r="N48" s="121">
        <v>38</v>
      </c>
      <c r="O48" s="81"/>
      <c r="P48" s="128" t="s">
        <v>14</v>
      </c>
    </row>
    <row r="49" spans="1:16" s="71" customFormat="1" ht="15" customHeight="1" x14ac:dyDescent="0.3">
      <c r="A49" s="180" t="s">
        <v>189</v>
      </c>
      <c r="B49" s="143"/>
      <c r="C49" s="72" t="s">
        <v>190</v>
      </c>
      <c r="D49" s="195" t="s">
        <v>191</v>
      </c>
      <c r="E49" s="82">
        <v>904</v>
      </c>
      <c r="F49" s="83">
        <v>1257</v>
      </c>
      <c r="G49" s="83">
        <v>1257</v>
      </c>
      <c r="H49" s="90">
        <v>3591.4285714285716</v>
      </c>
      <c r="I49" s="233" t="s">
        <v>354</v>
      </c>
      <c r="J49" s="90"/>
      <c r="K49" s="108" t="s">
        <v>192</v>
      </c>
      <c r="L49" s="130" t="s">
        <v>193</v>
      </c>
      <c r="M49" s="110">
        <v>1.7</v>
      </c>
      <c r="N49" s="131" t="s">
        <v>194</v>
      </c>
      <c r="O49" s="143"/>
      <c r="P49" s="113" t="s">
        <v>195</v>
      </c>
    </row>
    <row r="50" spans="1:16" s="71" customFormat="1" ht="15" customHeight="1" x14ac:dyDescent="0.3">
      <c r="A50" s="181"/>
      <c r="B50" s="145"/>
      <c r="C50" s="72" t="s">
        <v>196</v>
      </c>
      <c r="D50" s="196"/>
      <c r="E50" s="82">
        <v>829</v>
      </c>
      <c r="F50" s="83">
        <v>1152</v>
      </c>
      <c r="G50" s="83">
        <v>1152</v>
      </c>
      <c r="H50" s="90">
        <v>3291.4285714285716</v>
      </c>
      <c r="J50" s="90"/>
      <c r="K50" s="108" t="s">
        <v>197</v>
      </c>
      <c r="L50" s="130" t="s">
        <v>198</v>
      </c>
      <c r="M50" s="109">
        <v>2.0499999999999998</v>
      </c>
      <c r="N50" s="131" t="s">
        <v>199</v>
      </c>
      <c r="O50" s="145"/>
      <c r="P50" s="113" t="s">
        <v>200</v>
      </c>
    </row>
    <row r="51" spans="1:16" s="71" customFormat="1" ht="29" customHeight="1" x14ac:dyDescent="0.15">
      <c r="A51" s="77" t="s">
        <v>201</v>
      </c>
      <c r="B51" s="81"/>
      <c r="C51" s="123" t="s">
        <v>202</v>
      </c>
      <c r="D51" s="85" t="s">
        <v>203</v>
      </c>
      <c r="E51" s="82">
        <v>68</v>
      </c>
      <c r="F51" s="79">
        <v>95</v>
      </c>
      <c r="G51" s="79">
        <v>95</v>
      </c>
      <c r="H51" s="90">
        <v>271.42857142857144</v>
      </c>
      <c r="I51" s="233" t="s">
        <v>353</v>
      </c>
      <c r="J51" s="90"/>
      <c r="K51" s="119" t="s">
        <v>204</v>
      </c>
      <c r="L51" s="119" t="s">
        <v>205</v>
      </c>
      <c r="M51" s="126">
        <v>0.1</v>
      </c>
      <c r="N51" s="121">
        <v>19</v>
      </c>
      <c r="O51" s="81"/>
      <c r="P51" s="124">
        <v>10</v>
      </c>
    </row>
    <row r="52" spans="1:16" s="71" customFormat="1" ht="29" customHeight="1" x14ac:dyDescent="0.15">
      <c r="A52" s="77" t="s">
        <v>206</v>
      </c>
      <c r="B52" s="81"/>
      <c r="C52" s="123" t="s">
        <v>202</v>
      </c>
      <c r="D52" s="125" t="s">
        <v>207</v>
      </c>
      <c r="E52" s="82">
        <v>240</v>
      </c>
      <c r="F52" s="79">
        <v>334</v>
      </c>
      <c r="G52" s="79">
        <v>334</v>
      </c>
      <c r="H52" s="90">
        <v>954.28571428571433</v>
      </c>
      <c r="I52" s="233" t="s">
        <v>352</v>
      </c>
      <c r="J52" s="90"/>
      <c r="K52" s="119" t="s">
        <v>208</v>
      </c>
      <c r="L52" s="119" t="s">
        <v>209</v>
      </c>
      <c r="M52" s="126">
        <v>0.4</v>
      </c>
      <c r="N52" s="126">
        <v>44.5</v>
      </c>
      <c r="O52" s="81"/>
      <c r="P52" s="128" t="s">
        <v>14</v>
      </c>
    </row>
    <row r="53" spans="1:16" s="71" customFormat="1" ht="37" customHeight="1" x14ac:dyDescent="0.15">
      <c r="A53" s="77" t="s">
        <v>210</v>
      </c>
      <c r="B53" s="81"/>
      <c r="C53" s="123" t="s">
        <v>202</v>
      </c>
      <c r="D53" s="125" t="s">
        <v>207</v>
      </c>
      <c r="E53" s="82">
        <v>209</v>
      </c>
      <c r="F53" s="79">
        <v>291</v>
      </c>
      <c r="G53" s="79">
        <v>291</v>
      </c>
      <c r="H53" s="90">
        <v>831.42857142857144</v>
      </c>
      <c r="I53" s="233" t="s">
        <v>351</v>
      </c>
      <c r="J53" s="90"/>
      <c r="K53" s="119" t="s">
        <v>211</v>
      </c>
      <c r="L53" s="119" t="s">
        <v>212</v>
      </c>
      <c r="M53" s="120">
        <v>0.39</v>
      </c>
      <c r="N53" s="126">
        <v>84.7</v>
      </c>
      <c r="O53" s="81"/>
      <c r="P53" s="124">
        <v>5</v>
      </c>
    </row>
    <row r="54" spans="1:16" s="71" customFormat="1" ht="15" customHeight="1" x14ac:dyDescent="0.3">
      <c r="A54" s="174" t="s">
        <v>213</v>
      </c>
      <c r="B54" s="143"/>
      <c r="C54" s="177" t="s">
        <v>214</v>
      </c>
      <c r="D54" s="197" t="s">
        <v>215</v>
      </c>
      <c r="E54" s="82">
        <v>334</v>
      </c>
      <c r="F54" s="84">
        <v>464</v>
      </c>
      <c r="G54" s="84">
        <v>464</v>
      </c>
      <c r="H54" s="90">
        <v>1325.7142857142858</v>
      </c>
      <c r="I54" s="233" t="s">
        <v>350</v>
      </c>
      <c r="J54" s="90"/>
      <c r="K54" s="108" t="s">
        <v>216</v>
      </c>
      <c r="L54" s="127" t="s">
        <v>217</v>
      </c>
      <c r="M54" s="109">
        <v>0.44</v>
      </c>
      <c r="N54" s="108" t="s">
        <v>218</v>
      </c>
      <c r="O54" s="78"/>
      <c r="P54" s="81" t="s">
        <v>219</v>
      </c>
    </row>
    <row r="55" spans="1:16" s="71" customFormat="1" ht="15" customHeight="1" x14ac:dyDescent="0.3">
      <c r="A55" s="175"/>
      <c r="B55" s="144"/>
      <c r="C55" s="178"/>
      <c r="D55" s="198"/>
      <c r="E55" s="78"/>
      <c r="F55" s="78"/>
      <c r="G55" s="78"/>
      <c r="H55" s="92"/>
      <c r="I55" s="92"/>
      <c r="J55" s="92"/>
      <c r="K55" s="78"/>
      <c r="L55" s="78"/>
      <c r="M55" s="78"/>
      <c r="N55" s="78"/>
      <c r="O55" s="78"/>
      <c r="P55" s="78"/>
    </row>
    <row r="56" spans="1:16" s="71" customFormat="1" ht="15" customHeight="1" x14ac:dyDescent="0.3">
      <c r="A56" s="176"/>
      <c r="B56" s="145"/>
      <c r="C56" s="179"/>
      <c r="D56" s="199"/>
      <c r="E56" s="82">
        <v>273</v>
      </c>
      <c r="F56" s="84">
        <v>379</v>
      </c>
      <c r="G56" s="84">
        <v>379</v>
      </c>
      <c r="H56" s="90">
        <v>1082.8571428571429</v>
      </c>
      <c r="I56" s="90"/>
      <c r="J56" s="90"/>
      <c r="K56" s="108" t="s">
        <v>220</v>
      </c>
      <c r="L56" s="127" t="s">
        <v>221</v>
      </c>
      <c r="M56" s="109">
        <v>0.32</v>
      </c>
      <c r="N56" s="78"/>
      <c r="O56" s="78"/>
      <c r="P56" s="81" t="s">
        <v>222</v>
      </c>
    </row>
    <row r="57" spans="1:16" ht="15" customHeight="1" x14ac:dyDescent="0.3">
      <c r="A57" s="200" t="s">
        <v>223</v>
      </c>
      <c r="B57" s="155"/>
      <c r="C57" s="155"/>
      <c r="D57" s="204" t="s">
        <v>215</v>
      </c>
      <c r="E57" s="51" t="s">
        <v>224</v>
      </c>
      <c r="F57" s="52" t="s">
        <v>225</v>
      </c>
      <c r="G57" s="67">
        <f>361+100+350</f>
        <v>811</v>
      </c>
      <c r="H57" s="90">
        <v>2317.1428571428573</v>
      </c>
      <c r="I57" s="240" t="s">
        <v>349</v>
      </c>
      <c r="J57" s="208"/>
      <c r="K57" s="206" t="s">
        <v>226</v>
      </c>
      <c r="L57" s="25" t="s">
        <v>227</v>
      </c>
      <c r="M57" s="42" t="s">
        <v>228</v>
      </c>
      <c r="N57" s="42" t="s">
        <v>229</v>
      </c>
      <c r="O57" s="155"/>
      <c r="P57" s="30" t="s">
        <v>230</v>
      </c>
    </row>
    <row r="58" spans="1:16" ht="15" customHeight="1" x14ac:dyDescent="0.3">
      <c r="A58" s="201"/>
      <c r="B58" s="157"/>
      <c r="C58" s="157"/>
      <c r="D58" s="205"/>
      <c r="E58" s="13" t="s">
        <v>231</v>
      </c>
      <c r="F58" s="13" t="s">
        <v>232</v>
      </c>
      <c r="G58" s="62"/>
      <c r="H58" s="91"/>
      <c r="I58" s="91"/>
      <c r="J58" s="91"/>
      <c r="K58" s="207"/>
      <c r="L58" s="14" t="s">
        <v>233</v>
      </c>
      <c r="M58" s="15">
        <v>0.35</v>
      </c>
      <c r="N58" s="53">
        <v>36</v>
      </c>
      <c r="O58" s="157"/>
      <c r="P58" s="30" t="s">
        <v>234</v>
      </c>
    </row>
    <row r="59" spans="1:16" s="71" customFormat="1" ht="30" customHeight="1" x14ac:dyDescent="0.15">
      <c r="A59" s="77" t="s">
        <v>235</v>
      </c>
      <c r="B59" s="81"/>
      <c r="C59" s="123" t="s">
        <v>236</v>
      </c>
      <c r="D59" s="85" t="s">
        <v>237</v>
      </c>
      <c r="E59" s="82">
        <v>65</v>
      </c>
      <c r="F59" s="79">
        <v>90</v>
      </c>
      <c r="G59" s="79">
        <v>90</v>
      </c>
      <c r="H59" s="90">
        <v>257.14285714285717</v>
      </c>
      <c r="I59" s="233" t="s">
        <v>348</v>
      </c>
      <c r="J59" s="90"/>
      <c r="K59" s="119" t="s">
        <v>238</v>
      </c>
      <c r="L59" s="119" t="s">
        <v>239</v>
      </c>
      <c r="M59" s="81"/>
      <c r="N59" s="81"/>
      <c r="O59" s="81"/>
      <c r="P59" s="124">
        <v>7</v>
      </c>
    </row>
    <row r="60" spans="1:16" ht="38" customHeight="1" x14ac:dyDescent="0.15">
      <c r="A60" s="36" t="s">
        <v>240</v>
      </c>
      <c r="B60" s="1"/>
      <c r="C60" s="23" t="s">
        <v>241</v>
      </c>
      <c r="D60" s="1"/>
      <c r="E60" s="37">
        <v>463</v>
      </c>
      <c r="F60" s="38">
        <v>644</v>
      </c>
      <c r="G60" s="64">
        <v>644</v>
      </c>
      <c r="H60" s="90">
        <v>1840.0000000000002</v>
      </c>
      <c r="I60" s="233" t="s">
        <v>347</v>
      </c>
      <c r="J60" s="90"/>
      <c r="K60" s="26" t="s">
        <v>242</v>
      </c>
      <c r="L60" s="26" t="s">
        <v>243</v>
      </c>
      <c r="M60" s="33">
        <v>1.54</v>
      </c>
      <c r="N60" s="44">
        <v>51.8</v>
      </c>
      <c r="O60" s="1"/>
      <c r="P60" s="43">
        <v>10</v>
      </c>
    </row>
    <row r="61" spans="1:16" ht="38" customHeight="1" x14ac:dyDescent="0.15">
      <c r="A61" s="36" t="s">
        <v>244</v>
      </c>
      <c r="B61" s="1"/>
      <c r="C61" s="23" t="s">
        <v>18</v>
      </c>
      <c r="D61" s="1"/>
      <c r="E61" s="41"/>
      <c r="F61" s="41"/>
      <c r="G61" s="1"/>
      <c r="H61" s="92"/>
      <c r="I61" s="232" t="s">
        <v>346</v>
      </c>
      <c r="J61" s="92"/>
      <c r="K61" s="1"/>
      <c r="L61" s="26" t="s">
        <v>245</v>
      </c>
      <c r="M61" s="45">
        <v>0.45100000000000001</v>
      </c>
      <c r="N61" s="44">
        <v>9.3000000000000007</v>
      </c>
      <c r="O61" s="1"/>
      <c r="P61" s="43">
        <v>10</v>
      </c>
    </row>
    <row r="62" spans="1:16" ht="40" customHeight="1" x14ac:dyDescent="0.15">
      <c r="A62" s="36" t="s">
        <v>246</v>
      </c>
      <c r="B62" s="1"/>
      <c r="C62" s="54" t="s">
        <v>247</v>
      </c>
      <c r="D62" s="1"/>
      <c r="E62" s="37">
        <v>142</v>
      </c>
      <c r="F62" s="50">
        <v>197</v>
      </c>
      <c r="G62" s="66">
        <v>197</v>
      </c>
      <c r="H62" s="90">
        <v>562.85714285714289</v>
      </c>
      <c r="I62" s="233" t="s">
        <v>345</v>
      </c>
      <c r="J62" s="90"/>
      <c r="K62" s="14" t="s">
        <v>248</v>
      </c>
      <c r="L62" s="14" t="s">
        <v>249</v>
      </c>
      <c r="M62" s="15">
        <v>0.34</v>
      </c>
      <c r="N62" s="53">
        <v>20</v>
      </c>
      <c r="O62" s="1"/>
      <c r="P62" s="27" t="s">
        <v>250</v>
      </c>
    </row>
    <row r="63" spans="1:16" ht="16" customHeight="1" x14ac:dyDescent="0.3">
      <c r="A63" s="200" t="s">
        <v>251</v>
      </c>
      <c r="B63" s="155"/>
      <c r="C63" s="202" t="s">
        <v>252</v>
      </c>
      <c r="D63" s="155"/>
      <c r="E63" s="13" t="s">
        <v>253</v>
      </c>
      <c r="F63" s="13" t="s">
        <v>254</v>
      </c>
      <c r="G63" s="36">
        <v>434</v>
      </c>
      <c r="H63" s="90">
        <v>1240</v>
      </c>
      <c r="I63" s="233" t="s">
        <v>344</v>
      </c>
      <c r="J63" s="90"/>
      <c r="K63" s="55" t="s">
        <v>216</v>
      </c>
      <c r="L63" s="1" t="s">
        <v>255</v>
      </c>
      <c r="M63" s="56">
        <v>0.22</v>
      </c>
      <c r="N63" s="24" t="s">
        <v>256</v>
      </c>
      <c r="O63" s="29"/>
      <c r="P63" s="34" t="s">
        <v>257</v>
      </c>
    </row>
    <row r="64" spans="1:16" ht="15.75" customHeight="1" x14ac:dyDescent="0.3">
      <c r="A64" s="201"/>
      <c r="B64" s="157"/>
      <c r="C64" s="203"/>
      <c r="D64" s="157"/>
      <c r="E64" s="13" t="s">
        <v>258</v>
      </c>
      <c r="F64" s="13" t="s">
        <v>259</v>
      </c>
      <c r="G64" s="36">
        <v>367</v>
      </c>
      <c r="H64" s="90">
        <v>1048.5714285714287</v>
      </c>
      <c r="I64" s="90"/>
      <c r="J64" s="90"/>
      <c r="K64" s="14" t="s">
        <v>220</v>
      </c>
      <c r="L64" s="1" t="s">
        <v>260</v>
      </c>
      <c r="M64" s="15">
        <v>0.17</v>
      </c>
      <c r="N64" s="24" t="s">
        <v>261</v>
      </c>
      <c r="O64" s="29"/>
      <c r="P64" s="34" t="s">
        <v>262</v>
      </c>
    </row>
    <row r="65" spans="1:16" ht="25" customHeight="1" x14ac:dyDescent="0.3">
      <c r="A65" s="36" t="s">
        <v>263</v>
      </c>
      <c r="B65" s="1"/>
      <c r="C65" s="23" t="s">
        <v>247</v>
      </c>
      <c r="D65" s="1"/>
      <c r="E65" s="37">
        <v>173</v>
      </c>
      <c r="F65" s="50">
        <v>240</v>
      </c>
      <c r="G65" s="66">
        <v>240</v>
      </c>
      <c r="H65" s="90">
        <v>685.71428571428578</v>
      </c>
      <c r="I65" s="233" t="s">
        <v>343</v>
      </c>
      <c r="J65" s="90"/>
      <c r="K65" s="14" t="s">
        <v>264</v>
      </c>
      <c r="L65" s="14" t="s">
        <v>265</v>
      </c>
      <c r="M65" s="32">
        <v>0.32900000000000001</v>
      </c>
      <c r="N65" s="16">
        <v>28.3</v>
      </c>
      <c r="O65" s="1"/>
      <c r="P65" s="57">
        <v>14</v>
      </c>
    </row>
    <row r="66" spans="1:16" ht="32" customHeight="1" x14ac:dyDescent="0.3">
      <c r="A66" s="36" t="s">
        <v>266</v>
      </c>
      <c r="B66" s="1"/>
      <c r="C66" s="23" t="s">
        <v>252</v>
      </c>
      <c r="D66" s="36" t="s">
        <v>215</v>
      </c>
      <c r="E66" s="37">
        <v>618</v>
      </c>
      <c r="F66" s="50">
        <v>859</v>
      </c>
      <c r="G66" s="66">
        <v>859</v>
      </c>
      <c r="H66" s="90">
        <v>2454.2857142857142</v>
      </c>
      <c r="I66" s="233" t="s">
        <v>342</v>
      </c>
      <c r="J66" s="90"/>
      <c r="K66" s="14" t="s">
        <v>267</v>
      </c>
      <c r="L66" s="55" t="s">
        <v>268</v>
      </c>
      <c r="M66" s="15">
        <v>3.32</v>
      </c>
      <c r="N66" s="16">
        <v>211.9</v>
      </c>
      <c r="O66" s="1"/>
      <c r="P66" s="43">
        <v>3</v>
      </c>
    </row>
    <row r="67" spans="1:16" ht="16" customHeight="1" x14ac:dyDescent="0.3">
      <c r="A67" s="200" t="s">
        <v>269</v>
      </c>
      <c r="B67" s="155"/>
      <c r="C67" s="202" t="s">
        <v>252</v>
      </c>
      <c r="D67" s="155"/>
      <c r="E67" s="58">
        <v>345</v>
      </c>
      <c r="F67" s="59">
        <v>480</v>
      </c>
      <c r="G67" s="68">
        <v>480</v>
      </c>
      <c r="H67" s="90">
        <v>1371.4285714285716</v>
      </c>
      <c r="I67" s="233" t="s">
        <v>341</v>
      </c>
      <c r="J67" s="90"/>
      <c r="K67" s="55" t="s">
        <v>216</v>
      </c>
      <c r="L67" s="48" t="s">
        <v>270</v>
      </c>
      <c r="M67" s="56">
        <v>0.46</v>
      </c>
      <c r="N67" s="48" t="s">
        <v>271</v>
      </c>
      <c r="O67" s="29"/>
      <c r="P67" s="30" t="s">
        <v>272</v>
      </c>
    </row>
    <row r="68" spans="1:16" ht="17" customHeight="1" x14ac:dyDescent="0.3">
      <c r="A68" s="201"/>
      <c r="B68" s="157"/>
      <c r="C68" s="203"/>
      <c r="D68" s="157"/>
      <c r="E68" s="35"/>
      <c r="F68" s="35"/>
      <c r="G68" s="29"/>
      <c r="H68" s="92"/>
      <c r="I68" s="92"/>
      <c r="J68" s="92"/>
      <c r="K68" s="55" t="s">
        <v>273</v>
      </c>
      <c r="L68" s="48" t="s">
        <v>274</v>
      </c>
      <c r="M68" s="56">
        <v>0.59</v>
      </c>
      <c r="N68" s="55" t="s">
        <v>275</v>
      </c>
      <c r="O68" s="29"/>
      <c r="P68" s="29"/>
    </row>
    <row r="69" spans="1:16" ht="31" customHeight="1" x14ac:dyDescent="0.15">
      <c r="A69" s="36" t="s">
        <v>276</v>
      </c>
      <c r="B69" s="1"/>
      <c r="C69" s="23" t="s">
        <v>28</v>
      </c>
      <c r="D69" s="24" t="s">
        <v>277</v>
      </c>
      <c r="E69" s="60" t="s">
        <v>278</v>
      </c>
      <c r="F69" s="60" t="s">
        <v>279</v>
      </c>
      <c r="G69" s="69">
        <f>495+495</f>
        <v>990</v>
      </c>
      <c r="H69" s="90">
        <v>2828.5714285714289</v>
      </c>
      <c r="I69" s="233" t="s">
        <v>340</v>
      </c>
      <c r="J69" s="90"/>
      <c r="K69" s="26" t="s">
        <v>280</v>
      </c>
      <c r="L69" s="26" t="s">
        <v>281</v>
      </c>
      <c r="M69" s="33">
        <v>2.0699999999999998</v>
      </c>
      <c r="N69" s="33">
        <v>36.450000000000003</v>
      </c>
      <c r="O69" s="1"/>
      <c r="P69" s="43">
        <v>6</v>
      </c>
    </row>
    <row r="70" spans="1:16" s="71" customFormat="1" ht="26" customHeight="1" x14ac:dyDescent="0.3">
      <c r="A70" s="77" t="s">
        <v>282</v>
      </c>
      <c r="B70" s="81"/>
      <c r="C70" s="123" t="s">
        <v>18</v>
      </c>
      <c r="D70" s="125" t="s">
        <v>283</v>
      </c>
      <c r="E70" s="86">
        <v>1221</v>
      </c>
      <c r="F70" s="86">
        <v>1697</v>
      </c>
      <c r="G70" s="86">
        <v>1697</v>
      </c>
      <c r="H70" s="90">
        <v>4848.5714285714284</v>
      </c>
      <c r="I70" s="233" t="s">
        <v>339</v>
      </c>
      <c r="J70" s="90"/>
      <c r="K70" s="108" t="s">
        <v>284</v>
      </c>
      <c r="L70" s="122" t="s">
        <v>285</v>
      </c>
      <c r="M70" s="109">
        <v>3.22</v>
      </c>
      <c r="N70" s="110">
        <v>116.5</v>
      </c>
      <c r="O70" s="81"/>
      <c r="P70" s="81"/>
    </row>
    <row r="71" spans="1:16" ht="26" customHeight="1" x14ac:dyDescent="0.3">
      <c r="A71" s="61" t="s">
        <v>286</v>
      </c>
      <c r="B71" s="1"/>
      <c r="C71" s="46" t="s">
        <v>287</v>
      </c>
      <c r="D71" s="24" t="s">
        <v>288</v>
      </c>
      <c r="E71" s="37">
        <v>700</v>
      </c>
      <c r="F71" s="37">
        <v>973</v>
      </c>
      <c r="G71" s="65">
        <v>973</v>
      </c>
      <c r="H71" s="90">
        <v>2780</v>
      </c>
      <c r="I71" s="233" t="s">
        <v>338</v>
      </c>
      <c r="J71" s="90"/>
      <c r="K71" s="14" t="s">
        <v>289</v>
      </c>
      <c r="L71" s="14" t="s">
        <v>290</v>
      </c>
      <c r="M71" s="15">
        <v>1.55</v>
      </c>
      <c r="N71" s="16">
        <v>75.5</v>
      </c>
      <c r="O71" s="1"/>
      <c r="P71" s="1"/>
    </row>
    <row r="72" spans="1:16" ht="26.25" customHeight="1" x14ac:dyDescent="0.3">
      <c r="A72" s="61" t="s">
        <v>291</v>
      </c>
      <c r="B72" s="1"/>
      <c r="C72" s="23" t="s">
        <v>28</v>
      </c>
      <c r="D72" s="40" t="s">
        <v>292</v>
      </c>
      <c r="E72" s="37">
        <v>882</v>
      </c>
      <c r="F72" s="39">
        <v>1226</v>
      </c>
      <c r="G72" s="70">
        <v>1226</v>
      </c>
      <c r="H72" s="90">
        <v>3502.8571428571431</v>
      </c>
      <c r="I72" s="233" t="s">
        <v>337</v>
      </c>
      <c r="J72" s="90"/>
      <c r="K72" s="14" t="s">
        <v>293</v>
      </c>
      <c r="L72" s="28" t="s">
        <v>294</v>
      </c>
      <c r="M72" s="15">
        <v>1.85</v>
      </c>
      <c r="N72" s="28" t="s">
        <v>295</v>
      </c>
      <c r="O72" s="1"/>
      <c r="P72" s="1"/>
    </row>
  </sheetData>
  <mergeCells count="64">
    <mergeCell ref="I21:I23"/>
    <mergeCell ref="A34:A37"/>
    <mergeCell ref="A67:A68"/>
    <mergeCell ref="B67:B68"/>
    <mergeCell ref="C67:C68"/>
    <mergeCell ref="D67:D68"/>
    <mergeCell ref="O57:O58"/>
    <mergeCell ref="A63:A64"/>
    <mergeCell ref="B63:B64"/>
    <mergeCell ref="C63:C64"/>
    <mergeCell ref="D63:D64"/>
    <mergeCell ref="A57:A58"/>
    <mergeCell ref="B57:B58"/>
    <mergeCell ref="C57:C58"/>
    <mergeCell ref="D57:D58"/>
    <mergeCell ref="K57:K58"/>
    <mergeCell ref="O49:O50"/>
    <mergeCell ref="A54:A56"/>
    <mergeCell ref="B54:B56"/>
    <mergeCell ref="C54:C56"/>
    <mergeCell ref="D54:D56"/>
    <mergeCell ref="C38:C39"/>
    <mergeCell ref="D38:D39"/>
    <mergeCell ref="A49:A50"/>
    <mergeCell ref="B49:B50"/>
    <mergeCell ref="D49:D50"/>
    <mergeCell ref="A30:A33"/>
    <mergeCell ref="B30:B33"/>
    <mergeCell ref="C30:C33"/>
    <mergeCell ref="D30:D33"/>
    <mergeCell ref="P30:P31"/>
    <mergeCell ref="P32:P33"/>
    <mergeCell ref="A24:A26"/>
    <mergeCell ref="B24:B26"/>
    <mergeCell ref="C24:C26"/>
    <mergeCell ref="D24:D26"/>
    <mergeCell ref="A27:A29"/>
    <mergeCell ref="B27:B29"/>
    <mergeCell ref="C27:C29"/>
    <mergeCell ref="D27:D29"/>
    <mergeCell ref="B17:B20"/>
    <mergeCell ref="A18:A19"/>
    <mergeCell ref="C18:C19"/>
    <mergeCell ref="D18:D19"/>
    <mergeCell ref="A21:A23"/>
    <mergeCell ref="B21:B23"/>
    <mergeCell ref="C21:C23"/>
    <mergeCell ref="D21:D23"/>
    <mergeCell ref="A8:A9"/>
    <mergeCell ref="B8:B13"/>
    <mergeCell ref="C8:C9"/>
    <mergeCell ref="O8:P8"/>
    <mergeCell ref="O9:P11"/>
    <mergeCell ref="A11:A12"/>
    <mergeCell ref="C11:C12"/>
    <mergeCell ref="D11:D12"/>
    <mergeCell ref="O12:P13"/>
    <mergeCell ref="I8:I13"/>
    <mergeCell ref="B2:B7"/>
    <mergeCell ref="O2:O7"/>
    <mergeCell ref="P2:P3"/>
    <mergeCell ref="P4:P6"/>
    <mergeCell ref="D7:D9"/>
    <mergeCell ref="I2:I7"/>
  </mergeCells>
  <hyperlinks>
    <hyperlink ref="I2" r:id="rId1" xr:uid="{9173FC5A-9FA1-48B5-A53B-888515427971}"/>
    <hyperlink ref="I8" r:id="rId2" xr:uid="{93AC9676-9CFC-42C3-8AE0-1A8A23DAFE43}"/>
    <hyperlink ref="I21" r:id="rId3" xr:uid="{B4EDBB17-9A2B-4DB2-B45B-42CAF753F049}"/>
    <hyperlink ref="I17" r:id="rId4" xr:uid="{90E5B9FF-69A2-46E3-8EEB-213A66D0072B}"/>
    <hyperlink ref="I18" r:id="rId5" xr:uid="{F5D7497F-0197-4706-96E6-3E82FD5DAE53}"/>
    <hyperlink ref="I14" r:id="rId6" xr:uid="{013E8C8D-3658-496C-8B51-AE4856078111}"/>
    <hyperlink ref="I30" r:id="rId7" xr:uid="{6AFA3641-E91E-455D-AC97-FB0068297C35}"/>
    <hyperlink ref="I24" r:id="rId8" xr:uid="{DB0760B2-3C6C-4A99-959B-BA4C545B354D}"/>
    <hyperlink ref="I43" r:id="rId9" xr:uid="{CEC14483-DBBF-4119-8492-F32CA32ABD86}"/>
    <hyperlink ref="I47" r:id="rId10" xr:uid="{7C51B4D7-B3C1-4DB3-80D8-471817DED33D}"/>
    <hyperlink ref="I34" r:id="rId11" xr:uid="{8AAE0B46-2E8B-42D3-BE47-E046D9264B91}"/>
    <hyperlink ref="I37" r:id="rId12" xr:uid="{C55EEF57-BFA8-4672-AE7B-9EFDE6A6A193}"/>
    <hyperlink ref="I35" r:id="rId13" xr:uid="{AF5EDA13-1DA2-49D8-8C85-0393F14A2C0A}"/>
    <hyperlink ref="I36" r:id="rId14" xr:uid="{CBB389E0-E6D1-4FA6-82DE-B2A8972F00C9}"/>
    <hyperlink ref="I42" r:id="rId15" xr:uid="{33185BA2-8A9E-46AE-BD30-AA904E61D845}"/>
    <hyperlink ref="I29" r:id="rId16" xr:uid="{32DDF480-DFE3-46E3-BD8E-505464ACCAE9}"/>
    <hyperlink ref="I72" r:id="rId17" xr:uid="{DA8AFD50-1890-4B5C-B9F2-774671A96FBA}"/>
    <hyperlink ref="I71" r:id="rId18" xr:uid="{004B29CE-7EFF-42DA-BA49-E612D143A981}"/>
    <hyperlink ref="I70" r:id="rId19" xr:uid="{1A40C0A8-50BF-44F6-97D5-F48337072EF8}"/>
    <hyperlink ref="I69" r:id="rId20" xr:uid="{D0676397-8FF1-4DB8-8DDF-BFA45D27D9D6}"/>
    <hyperlink ref="I67" r:id="rId21" xr:uid="{BE7700C8-223E-4D3B-8C44-DA86C1066CFD}"/>
    <hyperlink ref="I66" r:id="rId22" xr:uid="{20B01608-8614-4957-9AEB-A2729032671C}"/>
    <hyperlink ref="I65" r:id="rId23" xr:uid="{C5DA98C2-F67C-40B9-A644-3114C721619A}"/>
    <hyperlink ref="I63" r:id="rId24" xr:uid="{6EE10FAA-D2DB-4C38-A09F-ECAC7029E752}"/>
    <hyperlink ref="I62" r:id="rId25" xr:uid="{FBA3F7F6-4F5F-4ACE-AF07-6277C9A8A19A}"/>
    <hyperlink ref="I61" r:id="rId26" xr:uid="{A5281BD1-A740-425C-822E-F71338B75F96}"/>
    <hyperlink ref="I60" r:id="rId27" xr:uid="{2206ED4C-C45E-4856-A5B2-6E8CD4D83803}"/>
    <hyperlink ref="I59" r:id="rId28" xr:uid="{B7B1671B-A415-4676-A1EB-173B701D7644}"/>
    <hyperlink ref="I57" r:id="rId29" xr:uid="{7BF86C62-053E-46BB-854F-4226E324F287}"/>
    <hyperlink ref="I54" r:id="rId30" xr:uid="{BDA2AF9D-CE69-4885-84A0-50A44139529F}"/>
    <hyperlink ref="I53" r:id="rId31" xr:uid="{1008DAC8-0E23-4E3C-BA34-C3AB719E7CB1}"/>
    <hyperlink ref="I52" r:id="rId32" xr:uid="{D0E2C5EC-AEE2-4C5B-9AC8-DDF1C3FEFCBF}"/>
    <hyperlink ref="I51" r:id="rId33" xr:uid="{81EF6930-9E8A-47EB-BFDA-8AEE026981E1}"/>
    <hyperlink ref="I49" r:id="rId34" xr:uid="{7E600402-8ECD-44E1-984D-0D6303CF984E}"/>
    <hyperlink ref="I48" r:id="rId35" xr:uid="{E2BE7C7F-50D7-4DFC-A155-92B9878633FB}"/>
    <hyperlink ref="I46" r:id="rId36" xr:uid="{885E726B-4041-4437-8FA9-C506A73FE7DB}"/>
    <hyperlink ref="I38" r:id="rId37" xr:uid="{045A7393-182E-4EAC-8B39-934A26871B33}"/>
    <hyperlink ref="I39" r:id="rId38" xr:uid="{83D74386-4CE9-4AB3-9863-EE45585279D2}"/>
    <hyperlink ref="I40" r:id="rId39" xr:uid="{A36457B3-A094-48FD-AE80-9C11923B54BF}"/>
    <hyperlink ref="I41" r:id="rId40" xr:uid="{736D4288-86E4-498F-8E63-EF3ED810A38D}"/>
  </hyperlinks>
  <pageMargins left="0.7" right="0.7" top="0.75" bottom="0.75" header="0.3" footer="0.3"/>
  <pageSetup orientation="portrait" r:id="rId41"/>
  <drawing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</dc:creator>
  <dc:description/>
  <cp:lastModifiedBy>Moha Shetty</cp:lastModifiedBy>
  <cp:lastPrinted>2025-12-27T03:30:12Z</cp:lastPrinted>
  <dcterms:created xsi:type="dcterms:W3CDTF">2025-12-27T02:40:13Z</dcterms:created>
  <dcterms:modified xsi:type="dcterms:W3CDTF">2026-02-11T06:16:52Z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2025-12-27T00:00:00Z</vt:filetime>
  </property>
  <property fmtid="{D5CDD505-2E9C-101B-9397-08002B2CF9AE}" pid="5" name="Producer">
    <vt:lpwstr>macOS 版本15.6（版号24G84） Quartz PDFContext</vt:lpwstr>
  </property>
  <property fmtid="{D5CDD505-2E9C-101B-9397-08002B2CF9AE}" pid="6" name="SourceModified">
    <vt:lpwstr>D:20251224130441-05'00'</vt:lpwstr>
  </property>
</Properties>
</file>